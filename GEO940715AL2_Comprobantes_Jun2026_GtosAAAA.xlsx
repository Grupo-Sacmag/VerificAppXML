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arrollo.conta\Desktop\Clonados\VerificAppXML\"/>
    </mc:Choice>
  </mc:AlternateContent>
  <xr:revisionPtr revIDLastSave="0" documentId="13_ncr:1_{7B2B504C-3510-472A-8A3A-62B2C6418C6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EO940715AL2" sheetId="1" r:id="rId1"/>
    <sheet name="DEPUR" sheetId="4" r:id="rId2"/>
    <sheet name="IVA ACRED" sheetId="6" r:id="rId3"/>
  </sheets>
  <definedNames>
    <definedName name="_xlnm._FilterDatabase" localSheetId="1" hidden="1">DEPUR!$A$5:$U$5</definedName>
    <definedName name="_xlnm._FilterDatabase" localSheetId="0" hidden="1">GEO940715AL2!$A$5:$U$5</definedName>
    <definedName name="_xlnm._FilterDatabase" localSheetId="2" hidden="1">'IVA ACRED'!$A$5:$U$5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2" i="6" l="1"/>
  <c r="S52" i="6"/>
  <c r="R52" i="6"/>
  <c r="Q52" i="6"/>
  <c r="P52" i="6"/>
  <c r="O52" i="6"/>
  <c r="T38" i="6"/>
  <c r="S38" i="6"/>
  <c r="R38" i="6"/>
  <c r="Q38" i="6"/>
  <c r="P38" i="6"/>
  <c r="O38" i="6"/>
  <c r="O54" i="6" l="1"/>
  <c r="Q54" i="6"/>
  <c r="R54" i="6"/>
  <c r="S54" i="6"/>
  <c r="T54" i="6"/>
  <c r="P54" i="6"/>
  <c r="Q57" i="6" l="1"/>
  <c r="Q59" i="6" s="1"/>
  <c r="T45" i="4"/>
  <c r="S45" i="4"/>
  <c r="R45" i="4"/>
  <c r="Q45" i="4"/>
  <c r="P45" i="4"/>
  <c r="O45" i="4"/>
  <c r="T44" i="4"/>
  <c r="S44" i="4"/>
  <c r="R44" i="4"/>
  <c r="Q44" i="4"/>
  <c r="P44" i="4"/>
  <c r="O44" i="4"/>
  <c r="T43" i="4"/>
  <c r="S43" i="4"/>
  <c r="R43" i="4"/>
  <c r="Q43" i="4"/>
  <c r="P43" i="4"/>
  <c r="O43" i="4"/>
  <c r="T45" i="1" l="1"/>
  <c r="S45" i="1"/>
  <c r="R45" i="1"/>
  <c r="Q45" i="1"/>
  <c r="P45" i="1"/>
  <c r="O45" i="1"/>
  <c r="T44" i="1"/>
  <c r="S44" i="1"/>
  <c r="R44" i="1"/>
  <c r="Q44" i="1"/>
  <c r="P44" i="1"/>
  <c r="O44" i="1"/>
  <c r="T43" i="1"/>
  <c r="S43" i="1"/>
  <c r="R43" i="1"/>
  <c r="Q43" i="1"/>
  <c r="P43" i="1"/>
  <c r="O43" i="1"/>
</calcChain>
</file>

<file path=xl/sharedStrings.xml><?xml version="1.0" encoding="utf-8"?>
<sst xmlns="http://schemas.openxmlformats.org/spreadsheetml/2006/main" count="1692" uniqueCount="278">
  <si>
    <t>GEOAMBIENTE SA DE CV</t>
  </si>
  <si>
    <t>GEO940715AL2</t>
  </si>
  <si>
    <t>Facturas Recibidas</t>
  </si>
  <si>
    <t xml:space="preserve">FILTRO:  Año: 2026  | Mes: Junio | Ver.: Todos | Estatus: Todos </t>
  </si>
  <si>
    <t>Sello</t>
  </si>
  <si>
    <t>SAT</t>
  </si>
  <si>
    <t>Estatus</t>
  </si>
  <si>
    <t>Fecha Cancelación</t>
  </si>
  <si>
    <t>Ver.</t>
  </si>
  <si>
    <t>Tipo</t>
  </si>
  <si>
    <t>UUID</t>
  </si>
  <si>
    <t>Serie</t>
  </si>
  <si>
    <t>Folio</t>
  </si>
  <si>
    <t>Emisión</t>
  </si>
  <si>
    <t>Uso CFDI</t>
  </si>
  <si>
    <t>Emisor RFC</t>
  </si>
  <si>
    <t>Emisor Nombre</t>
  </si>
  <si>
    <t>Conceptos Descripción</t>
  </si>
  <si>
    <t>SubTotal</t>
  </si>
  <si>
    <t>Descuento</t>
  </si>
  <si>
    <t>IVA</t>
  </si>
  <si>
    <t>IVA Retenido</t>
  </si>
  <si>
    <t>ISR Retenido</t>
  </si>
  <si>
    <t>Total</t>
  </si>
  <si>
    <t>Método Pago</t>
  </si>
  <si>
    <t>Válido</t>
  </si>
  <si>
    <t>Existe</t>
  </si>
  <si>
    <t>Vigente</t>
  </si>
  <si>
    <t>4.0</t>
  </si>
  <si>
    <t>Ingreso</t>
  </si>
  <si>
    <t>7000E63B-3FE6-4813-872F-AE26BB8C0A31</t>
  </si>
  <si>
    <t>C-GTLV</t>
  </si>
  <si>
    <t>49</t>
  </si>
  <si>
    <t>G03</t>
  </si>
  <si>
    <t>EMP200128TP5</t>
  </si>
  <si>
    <t>EMPRENDECEL</t>
  </si>
  <si>
    <t>IPAD A16 11P CARTERA MARCAS</t>
  </si>
  <si>
    <t>PUE</t>
  </si>
  <si>
    <t>258a955f-b613-452d-81e1-7d9604c9a494</t>
  </si>
  <si>
    <t>FPAEMLVER</t>
  </si>
  <si>
    <t>1787</t>
  </si>
  <si>
    <t>OFF1101119X9</t>
  </si>
  <si>
    <t>OPERADORA Y ADMINISTRADORA DE RESTAURANTES GIGANTE</t>
  </si>
  <si>
    <t>Consumo de alimentos y bebidas</t>
  </si>
  <si>
    <t>e1007d9c-6518-4541-90ec-cfaf55be3dd4</t>
  </si>
  <si>
    <t>A</t>
  </si>
  <si>
    <t>7851</t>
  </si>
  <si>
    <t>RCE7506133J6</t>
  </si>
  <si>
    <t>RESTAURANT Y CARNITAS ECHEGARAY</t>
  </si>
  <si>
    <t>CONSUMO DE ALIMENTOS Y BEBIDAS</t>
  </si>
  <si>
    <t>15236CEE-DF02-433D-B7CD-B23B446CF0AB</t>
  </si>
  <si>
    <t>798</t>
  </si>
  <si>
    <t>MAVM480403A19</t>
  </si>
  <si>
    <t>MIGUEL ANGEL MACIN VERA</t>
  </si>
  <si>
    <t>RENTA ENERO PISO 1 GEOAMBIENTE</t>
  </si>
  <si>
    <t>F1F50890-5FCF-4138-BB8E-97DC2631F49B</t>
  </si>
  <si>
    <t>PFCCTOAABB</t>
  </si>
  <si>
    <t>34038</t>
  </si>
  <si>
    <t>ERC090129KX2</t>
  </si>
  <si>
    <t>ESPECIALISTAS EN RESTAURANTES DE COMIDA ESTILO ASIATICA</t>
  </si>
  <si>
    <t>RESTAURANTES AL 16%</t>
  </si>
  <si>
    <t>A9A35150-AB81-4BCC-A425-C4D218615894</t>
  </si>
  <si>
    <t>803</t>
  </si>
  <si>
    <t>RENTA JUNIO PISO 1 GEOAMBIENTE</t>
  </si>
  <si>
    <t>D4E1D932-9AE1-47B3-9813-0BBBD2C1E871</t>
  </si>
  <si>
    <t>802</t>
  </si>
  <si>
    <t>RENTA MAYO PISO 1 GEOAMBIENTE</t>
  </si>
  <si>
    <t>60EB05D1-DE75-4B8F-8877-65B2CB0F418F</t>
  </si>
  <si>
    <t>801</t>
  </si>
  <si>
    <t>RENTA ABRIL PISO 1 GEOAMBIENTE</t>
  </si>
  <si>
    <t>1A64275A-2442-4371-925B-E01D4AF3FD82</t>
  </si>
  <si>
    <t>800</t>
  </si>
  <si>
    <t>RENTA MARZO PISO 1 GEOAMBIENTE</t>
  </si>
  <si>
    <t>D69FB444-C23F-4D7B-A875-6FD25F81E858</t>
  </si>
  <si>
    <t>799</t>
  </si>
  <si>
    <t>RENTA FEBRERO PISO 1 GEOAMBIENTE</t>
  </si>
  <si>
    <t>A2FB03E1-B070-44CB-88E8-DB8CBC673254</t>
  </si>
  <si>
    <t>1108</t>
  </si>
  <si>
    <t>TID250321MZ0</t>
  </si>
  <si>
    <t>TAGERS IN DA CITY</t>
  </si>
  <si>
    <t>Limonada Pia Romero|Limonada Natural|Chicharron De Portobello|Tostadas De Atun|Chicken Tzatzikii|Capuchino Caliente|Espresso Doble</t>
  </si>
  <si>
    <t>e8c44b1c-eb5d-47a1-a17c-8154523988d4</t>
  </si>
  <si>
    <t>ABG</t>
  </si>
  <si>
    <t>5379030</t>
  </si>
  <si>
    <t>CME910715UB9</t>
  </si>
  <si>
    <t>COSTCO DE MEXICO</t>
  </si>
  <si>
    <t>GALLETA CHISPAS CHOCO 24 PIEZAS / 1.00 KG KIRKLAND SIGNATURE|CREMA ÁCIDA SELECTA 900 ML ALPURA|PAN BLANCO 2/620 G BIMBO|DULCES ENCHILADOS 12/50 G XILE CHILE</t>
  </si>
  <si>
    <t>4653af73-f55a-4292-83c0-a361b160ea31</t>
  </si>
  <si>
    <t>B</t>
  </si>
  <si>
    <t>1242</t>
  </si>
  <si>
    <t>PET160908JF8</t>
  </si>
  <si>
    <t>PETROHABA</t>
  </si>
  <si>
    <t>Determinación de Densidad relativ a 60°F, densidad a 15°C, gravedad API a 60° (método ASTM D5002-19)|Determinacion de porcentaje de agua y sedimento total por centrifugacion. W&amp;S. (metodo ASTM-D4007-11)|Determinacion de Salinidad en hidrocarburo por metodo electrometrico, lb/1000 bl (metodo ASTM-D3230-13)|Almacenamiento de muestra</t>
  </si>
  <si>
    <t>PPD</t>
  </si>
  <si>
    <t>7575ab5a-7c7b-4130-82ad-9a2d7e1e5772</t>
  </si>
  <si>
    <t>T</t>
  </si>
  <si>
    <t>141479</t>
  </si>
  <si>
    <t>SBO730910UL4</t>
  </si>
  <si>
    <t>SERVICIO BOULEVARES</t>
  </si>
  <si>
    <t>BP REGULAR 87 OCTANOS (Despacho 2451987-0)</t>
  </si>
  <si>
    <t>5f1a0ded-0f4e-4d02-b7b2-2123f4173ed8</t>
  </si>
  <si>
    <t>SFFABP</t>
  </si>
  <si>
    <t>2411597</t>
  </si>
  <si>
    <t>API6609273E0</t>
  </si>
  <si>
    <t>AUTOBUSES DE LA PIEDAD</t>
  </si>
  <si>
    <t>SERVICIO DE TRANSPORTE DE PRIMERA PLUS QRO-MEX 21/06/2026 COMPLETO, JORGE ALEJANDRO MAYA. VTA REALIZADA EN  GUANAJUATO,  No. ,  C.P.</t>
  </si>
  <si>
    <t>5e8dbc66-fbd1-4cb2-a0ca-aa9871a9e0f3</t>
  </si>
  <si>
    <t>2411557</t>
  </si>
  <si>
    <t>SERVICIO DE TRANSPORTE DE PRIMERA PLUS MEX-QRO 17/06/2026 COMPLETO, JORGE MAYA. VTA REALIZADA EN Delg. Gustavo A. Madero Ciudad DISTRITO FEDERAL, Av. 100 metros eje central L No. D, Col. Magdalena de las Salina C.P. 7760</t>
  </si>
  <si>
    <t>670cb6f8-ef29-40d9-80a5-1bc72c8e5f24</t>
  </si>
  <si>
    <t>7028</t>
  </si>
  <si>
    <t>CTA840227RT0</t>
  </si>
  <si>
    <t>COORDINACION TECNICO ADMINISTRATIVA DE OBRAS</t>
  </si>
  <si>
    <t>RECIBIMOS DE GEOAMBIENTE, S.A. DE C.V., LA CANTIDAD DE $ 68,973.60 (SESENTA Y OCHO MIL NOVECIENTOS SETENTA Y TRES PESOS 60/100 M.N.) IVA INCLUIDO POR CONCEPTO DE ESTIMACIÓN No. 01 PAGO INICIAL DEL SERVICIO DE ESTUDIO DE FOTOGRAMETRÍA, TOPOGRAFÍA, Y BATIMETRÍA EN CAUSES FEDERALES. ORDEN DE COMPRA No.GEO9024-01</t>
  </si>
  <si>
    <t>01c23fe3-e9a9-4f86-ae45-76460779625b</t>
  </si>
  <si>
    <t>7027</t>
  </si>
  <si>
    <t>RECIBIMOS DE GEOAMBIENTE, S.A. DE C.V., LA CANTIDAD DE $153,067.80 (CIENTO CINCUENTA Y TRES MIL SESENTA Y SIETE PESOS 80/100 M.N.) IVA INCLUIDO POR CONCEPTO DE ESTIMACIÓN No. 01 PAGO INICIAL DEL SERVICIO DE ESTUDIO DE FOTOGRAMETRÍA, TOPOGRAFÍA, Y BATIMETRÍA EN CAUSES FEDERALES. ORDEN DE COMPRA No. GEO9023-01</t>
  </si>
  <si>
    <t>ABBBF8CF-C48D-A745-A7A2-9FFF31E2AA13</t>
  </si>
  <si>
    <t>00164303</t>
  </si>
  <si>
    <t>EMM190912626</t>
  </si>
  <si>
    <t>E&amp;I MOVILIDAD MEXICO</t>
  </si>
  <si>
    <t>Recarga|Tasa de la recarga</t>
  </si>
  <si>
    <t>2EF4C3E4-B135-47D4-A454-042F59D8D61F</t>
  </si>
  <si>
    <t>F</t>
  </si>
  <si>
    <t>2900750</t>
  </si>
  <si>
    <t>CME030219B64</t>
  </si>
  <si>
    <t>CONCESIONARIA MEXIQUENSE</t>
  </si>
  <si>
    <t>Servicio de peaje con Ticket 1470780|Servicio de peaje con Ticket 298|Servicio de peaje con Ticket 383597</t>
  </si>
  <si>
    <t>2D62BBEF-6916-561B-9374-12D9E997A85C</t>
  </si>
  <si>
    <t>TER</t>
  </si>
  <si>
    <t>61049543</t>
  </si>
  <si>
    <t>FAC150514TM8</t>
  </si>
  <si>
    <t>FACTURIFY</t>
  </si>
  <si>
    <t>Tarifa</t>
  </si>
  <si>
    <t>20c6d487-6bb4-4e56-85bb-7df1dd68747b</t>
  </si>
  <si>
    <t>139943</t>
  </si>
  <si>
    <t>BP REGULAR 87 OCTANOS (Despacho 2430239-0)</t>
  </si>
  <si>
    <t>5153B9F3-B781-4242-ADBD-A3C4849FDA77</t>
  </si>
  <si>
    <t>202605-Y6041909109-12062026-396572</t>
  </si>
  <si>
    <t>IMS421231I45</t>
  </si>
  <si>
    <t>INSTITUTO MEXICANO DEL SEGURO SOCIAL</t>
  </si>
  <si>
    <t>Cuotas IMSS</t>
  </si>
  <si>
    <t>F5029569-8470-41A7-94C7-CD67704B1EF6</t>
  </si>
  <si>
    <t>GUMI740714CL5</t>
  </si>
  <si>
    <t>ISRAEL ALEJANDRO GUTIERREZ MITTON</t>
  </si>
  <si>
    <t>SERVICIO DE TAXI</t>
  </si>
  <si>
    <t>26A2EF6B-8C7B-5761-B1C8-160D40B4241F</t>
  </si>
  <si>
    <t>LWAG</t>
  </si>
  <si>
    <t>2838587</t>
  </si>
  <si>
    <t>DLI931201MI9</t>
  </si>
  <si>
    <t>DISTRIBUIDORA LIVERPOOL</t>
  </si>
  <si>
    <t>DISCO DURO EXTERNO SANDISK 1TB, NEGRO</t>
  </si>
  <si>
    <t>ACED3337-07CE-432A-87A9-7058E357F44D</t>
  </si>
  <si>
    <t>COS</t>
  </si>
  <si>
    <t>6703</t>
  </si>
  <si>
    <t>COS9412158Y0</t>
  </si>
  <si>
    <t>COMPUTO OPTIMO Y SENCILLO</t>
  </si>
  <si>
    <t>KINGSTON SSD EXTERNO COMPACTO 1TB USB 3.</t>
  </si>
  <si>
    <t>FD0AC953-2045-4192-ABAE-9B9D2C51CF35</t>
  </si>
  <si>
    <t>CFDI</t>
  </si>
  <si>
    <t>20906</t>
  </si>
  <si>
    <t>CECL711003MN1</t>
  </si>
  <si>
    <t>JOSE LUIS CERVANTES CADENA</t>
  </si>
  <si>
    <t>EQUIPO MULTIFUNCIONAL. INCLUYE: SERVICIO, REFACCIONES, TONER Y 2,000 IMPRESIONES EN BLANCO Y NEGRO.|IMPRESIONES A COLOR.</t>
  </si>
  <si>
    <t>a9eb01f4-7651-46f2-9836-1597a065430a</t>
  </si>
  <si>
    <t>03201</t>
  </si>
  <si>
    <t>380823</t>
  </si>
  <si>
    <t>ALV570601K43</t>
  </si>
  <si>
    <t>AUTOTRANSPORTES LINEA VERDE</t>
  </si>
  <si>
    <t>SERVICIO TRANSPORTE DE PASAJEROS 08-06-2026 11:00 MXN - POZ OSCAR SANDATE SILVA MXNE1600171888427|SERVICIO TRANSPORTE DE PASAJEROS 08-06-2026 16:30 POZ - MXN OSCAR SANDATE POZE1600171905090</t>
  </si>
  <si>
    <t>57cec50a-1893-453d-80c8-aaeb45f66808</t>
  </si>
  <si>
    <t>137985</t>
  </si>
  <si>
    <t>BP REGULAR 87 OCTANOS (Despacho 2406935-0)</t>
  </si>
  <si>
    <t>aff8edc3-3564-4566-82b0-ef1788085311</t>
  </si>
  <si>
    <t>137506</t>
  </si>
  <si>
    <t>BP REGULAR 87 OCTANOS (Despacho 2400079-0)</t>
  </si>
  <si>
    <t>AB0B2590-74DE-4231-9B83-8CD5E362E32C</t>
  </si>
  <si>
    <t>677</t>
  </si>
  <si>
    <t>DEO010228PZ1</t>
  </si>
  <si>
    <t>DEON</t>
  </si>
  <si>
    <t>SERVICIOS DE ASESORIA</t>
  </si>
  <si>
    <t>01432a73-5d1b-452a-8e31-db3e8b1cbefa</t>
  </si>
  <si>
    <t>135811</t>
  </si>
  <si>
    <t>BP REGULAR 87 OCTANOS (Despacho 2380104-0)</t>
  </si>
  <si>
    <t>57F849C5-8369-4E58-84A8-E3DC0AD37B83</t>
  </si>
  <si>
    <t>G</t>
  </si>
  <si>
    <t>2106</t>
  </si>
  <si>
    <t>PAPC580502KX5</t>
  </si>
  <si>
    <t>JOSE CARMEN PALAFOX PORTILLA</t>
  </si>
  <si>
    <t>Venta</t>
  </si>
  <si>
    <t>197E5120-006E-6646-B806-54C8C9C57FDE</t>
  </si>
  <si>
    <t>518</t>
  </si>
  <si>
    <t>TID1511255W0</t>
  </si>
  <si>
    <t>TALLER ID</t>
  </si>
  <si>
    <t>ESTIMACIÓN 1 POR DESARROLLO DE LA INGENIERÍA BÁSICA EN TEMAS  HIDROLÓGICOS DE LA LÍNEA FÉRREA SAN LUIS POTOSÍ-SALTILLO.</t>
  </si>
  <si>
    <t>1FB41071-4073-5946-A52E-39462668A691</t>
  </si>
  <si>
    <t>60544963</t>
  </si>
  <si>
    <t>30684C11-6136-4EBB-BC13-2262554C6A22</t>
  </si>
  <si>
    <t>2395</t>
  </si>
  <si>
    <t>PIRB900221JD4</t>
  </si>
  <si>
    <t>BERENICE ISABEL PICHARDO ROJO</t>
  </si>
  <si>
    <t>CHALECO PROTEXT ESPECIAL CON BORDADOS Y CONTACTEL</t>
  </si>
  <si>
    <t>947cae75-6f75-488c-a023-add9dae3b446</t>
  </si>
  <si>
    <t>12588</t>
  </si>
  <si>
    <t>GUPR711104A35</t>
  </si>
  <si>
    <t>RICARDO GUTIERREZ PEREZ</t>
  </si>
  <si>
    <t>ALMACENAMIENTO Cer - 9146 003470C|DIGITALIZACION Cer - 9146 003470C|HONORARIOS Cer - 9146 003470C|REPRODUCCION Cer - 9146 003470C</t>
  </si>
  <si>
    <t>Total Vigentes</t>
  </si>
  <si>
    <t>Total Cancelados</t>
  </si>
  <si>
    <t>Total Sin Validar</t>
  </si>
  <si>
    <t>PROVEEDOR</t>
  </si>
  <si>
    <t>REEMBOLSO PMG</t>
  </si>
  <si>
    <t>fe3e0245-0dc4-4135-87d3-5253d888ee93</t>
  </si>
  <si>
    <t>133719</t>
  </si>
  <si>
    <t>BP REGULAR 87 OCTANOS (Despacho 2355811-0)</t>
  </si>
  <si>
    <t>NO RECONOCIDO</t>
  </si>
  <si>
    <t>55461669-18a8-4d87-8766-9f2c17fa169d</t>
  </si>
  <si>
    <t>133577</t>
  </si>
  <si>
    <t>BP REGULAR 87 OCTANOS (Despacho 2353864-0)</t>
  </si>
  <si>
    <t>751bab77-1604-43a3-89da-d1b05365e77d</t>
  </si>
  <si>
    <t>130493</t>
  </si>
  <si>
    <t>BP REGULAR 87 OCTANOS (Despacho 2316538-0)</t>
  </si>
  <si>
    <t>IMSS</t>
  </si>
  <si>
    <t>d17dacd4-a944-4422-8fb2-f497c19cd52e</t>
  </si>
  <si>
    <t>128040</t>
  </si>
  <si>
    <t>BP REGULAR 87 OCTANOS (Despacho 2287911-0)</t>
  </si>
  <si>
    <t>94e8db4d-26d7-4f6c-8625-289d715b39f6</t>
  </si>
  <si>
    <t>127206</t>
  </si>
  <si>
    <t>BP REGULAR 87 OCTANOS (Despacho 2278190-0)</t>
  </si>
  <si>
    <t>50BDFA6E-10AF-43D1-A995-C2B8369CE56E</t>
  </si>
  <si>
    <t>POSE</t>
  </si>
  <si>
    <t>82127781</t>
  </si>
  <si>
    <t>ODM950324V2A</t>
  </si>
  <si>
    <t>OFFICE DEPOT DE MEXICO</t>
  </si>
  <si>
    <t>FOLDER COLG OD OFICIO VE 25 PZ</t>
  </si>
  <si>
    <t>6ddf311a-2509-4253-a010-97a02fe8f995</t>
  </si>
  <si>
    <t>3058507</t>
  </si>
  <si>
    <t>AHO161011US3</t>
  </si>
  <si>
    <t>ANESA HOLDING</t>
  </si>
  <si>
    <t>CARRETERA ANESA NRU VMJTRGL3833V (06/05/2026)</t>
  </si>
  <si>
    <t>923C46DA-4163-46C6-A5B4-7D38F35A518C</t>
  </si>
  <si>
    <t>2677494</t>
  </si>
  <si>
    <t>Servicio de peaje con Ticket 1000790|Servicio de peaje con Ticket 635506</t>
  </si>
  <si>
    <t>13baf009-35cf-4a4e-927d-9a3277d90355</t>
  </si>
  <si>
    <t>GCMP</t>
  </si>
  <si>
    <t>7594265</t>
  </si>
  <si>
    <t>FNI970829JR9</t>
  </si>
  <si>
    <t>FONDO NACIONAL DE INFRAESTRUCTURA</t>
  </si>
  <si>
    <t>Folio: 6099941 Fecha: 06/05/2026 Hora: 194151 Carril: 2304 Clase: T01A</t>
  </si>
  <si>
    <t>be5922f9-031d-4056-af20-749a8306e1dd</t>
  </si>
  <si>
    <t>10MEX</t>
  </si>
  <si>
    <t>1512067260508140218426</t>
  </si>
  <si>
    <t>CCO8605231N4</t>
  </si>
  <si>
    <t>CADENA COMERCIAL OXXO</t>
  </si>
  <si>
    <t>PILA ALCALINA MAX ENERGIZER 4 PZ BLISTER AA</t>
  </si>
  <si>
    <t>4611A7FC-EB6F-4C76-AFC7-EB91FF10738D</t>
  </si>
  <si>
    <t>148</t>
  </si>
  <si>
    <t>CAMJ610815TF5</t>
  </si>
  <si>
    <t>JOAQUINA CARMONA MUÑOZ</t>
  </si>
  <si>
    <t>BOX LUNCH CORPORATIVO</t>
  </si>
  <si>
    <t>f7570782-ba6d-47eb-8146-8d7a84347946</t>
  </si>
  <si>
    <t>124921</t>
  </si>
  <si>
    <t>BP REGULAR 87 OCTANOS (Despacho 2250218-0)</t>
  </si>
  <si>
    <t>REEMBOLSO OSS</t>
  </si>
  <si>
    <t>REEMBOLSO JMJ</t>
  </si>
  <si>
    <t>REEMBOLSO JHD</t>
  </si>
  <si>
    <t>PROVEEDOR DIFERIDO JUL</t>
  </si>
  <si>
    <t>PROVEEDOR NO PROCEDE</t>
  </si>
  <si>
    <t>HONORARIOS</t>
  </si>
  <si>
    <t>ARRENDAMIENTO</t>
  </si>
  <si>
    <t>Total Vigentes MAYO</t>
  </si>
  <si>
    <t>Total Vigentes JUNIO</t>
  </si>
  <si>
    <t>REEMBOLSO PMG PROV MAYO</t>
  </si>
  <si>
    <t>Total acreditable</t>
  </si>
  <si>
    <t>Conta</t>
  </si>
  <si>
    <t>Comidas CDMX</t>
  </si>
  <si>
    <t>A favor meses anteriores</t>
  </si>
  <si>
    <t>FormaPago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</si>
</sst>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20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indexed="17"/>
      <name val="Calibri"/>
      <family val="2"/>
    </font>
    <font>
      <b/>
      <sz val="11"/>
      <color indexed="2"/>
      <name val="Calibri"/>
      <family val="2"/>
    </font>
    <font>
      <b/>
      <sz val="11"/>
      <color indexed="63"/>
      <name val="Calibri"/>
      <family val="2"/>
    </font>
    <font>
      <sz val="11"/>
      <color indexed="64"/>
      <name val="Calibri"/>
      <family val="2"/>
    </font>
    <font>
      <b/>
      <sz val="11"/>
      <color theme="8" tint="-0.249977111117893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0"/>
      <color rgb="FFFF33CC"/>
      <name val="Calibri Light"/>
      <family val="2"/>
      <scheme val="major"/>
    </font>
    <font>
      <b/>
      <sz val="10"/>
      <color rgb="FFFF33CC"/>
      <name val="Calibri"/>
      <family val="2"/>
    </font>
    <font>
      <b/>
      <sz val="10"/>
      <color rgb="FFFF0000"/>
      <name val="Calibri Light"/>
      <family val="2"/>
      <scheme val="major"/>
    </font>
    <font>
      <b/>
      <sz val="10"/>
      <color rgb="FF00B050"/>
      <name val="Calibri Light"/>
      <family val="2"/>
      <scheme val="major"/>
    </font>
    <font>
      <b/>
      <sz val="10"/>
      <color rgb="FFFFCC00"/>
      <name val="Calibri Light"/>
      <family val="2"/>
      <scheme val="major"/>
    </font>
    <font>
      <b/>
      <sz val="10"/>
      <color rgb="FFFF6600"/>
      <name val="Calibri Light"/>
      <family val="2"/>
      <scheme val="major"/>
    </font>
    <font>
      <b/>
      <sz val="12"/>
      <color theme="0"/>
      <name val="Aptos Narrow"/>
      <family val="2"/>
    </font>
    <font>
      <u val="singleAccounting"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5" fillId="3" borderId="0" xfId="0" applyFont="1" applyFill="1"/>
    <xf numFmtId="164" fontId="0" fillId="0" borderId="0" xfId="0" applyNumberFormat="1"/>
    <xf numFmtId="43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4" borderId="0" xfId="0" applyFont="1" applyFill="1"/>
    <xf numFmtId="43" fontId="0" fillId="2" borderId="0" xfId="1" applyFont="1" applyFill="1"/>
    <xf numFmtId="43" fontId="0" fillId="3" borderId="0" xfId="1" applyFont="1" applyFill="1"/>
    <xf numFmtId="43" fontId="9" fillId="4" borderId="0" xfId="1" applyFont="1" applyFill="1" applyAlignment="1">
      <alignment horizontal="right"/>
    </xf>
    <xf numFmtId="43" fontId="0" fillId="0" borderId="0" xfId="1" applyFont="1"/>
    <xf numFmtId="43" fontId="6" fillId="0" borderId="0" xfId="1" applyFont="1"/>
    <xf numFmtId="43" fontId="7" fillId="0" borderId="0" xfId="1" applyFont="1"/>
    <xf numFmtId="43" fontId="8" fillId="0" borderId="0" xfId="1" applyFont="1"/>
    <xf numFmtId="0" fontId="1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2"/>
    <xf numFmtId="164" fontId="1" fillId="0" borderId="0" xfId="2" applyNumberFormat="1"/>
    <xf numFmtId="43" fontId="1" fillId="0" borderId="0" xfId="2" applyNumberFormat="1"/>
    <xf numFmtId="0" fontId="13" fillId="0" borderId="0" xfId="2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5" borderId="0" xfId="0" applyFont="1" applyFill="1"/>
    <xf numFmtId="43" fontId="18" fillId="5" borderId="0" xfId="0" applyNumberFormat="1" applyFont="1" applyFill="1"/>
    <xf numFmtId="43" fontId="2" fillId="0" borderId="0" xfId="0" applyNumberFormat="1" applyFont="1"/>
    <xf numFmtId="43" fontId="19" fillId="0" borderId="0" xfId="1" applyFont="1"/>
  </cellXfs>
  <cellStyles count="3">
    <cellStyle name="Millares" xfId="1" builtinId="3"/>
    <cellStyle name="Normal" xfId="0" builtinId="0"/>
    <cellStyle name="Normal 2" xfId="2" xr:uid="{00000000-0005-0000-0000-000002000000}"/>
  </cellStyles>
  <dxfs count="31"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80808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ill>
        <patternFill patternType="solid">
          <fgColor indexed="64"/>
          <bgColor rgb="FFECF6E4"/>
        </patternFill>
      </fill>
    </dxf>
    <dxf>
      <font>
        <color rgb="FF80808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ill>
        <patternFill patternType="solid">
          <fgColor indexed="64"/>
          <bgColor rgb="FFECF6E4"/>
        </patternFill>
      </fill>
    </dxf>
    <dxf>
      <font>
        <color rgb="FF80808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ill>
        <patternFill patternType="solid">
          <fgColor indexed="64"/>
          <bgColor rgb="FFECF6E4"/>
        </patternFill>
      </fill>
    </dxf>
    <dxf>
      <font>
        <color rgb="FF808080"/>
      </font>
    </dxf>
    <dxf>
      <font>
        <color rgb="FF008000"/>
      </font>
    </dxf>
    <dxf>
      <font>
        <color rgb="FFFF0000"/>
      </font>
    </dxf>
  </dxfs>
  <tableStyles count="0"/>
  <colors>
    <mruColors>
      <color rgb="FFFF6600"/>
      <color rgb="FFFFCC00"/>
      <color rgb="FFFF33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workbookViewId="0">
      <pane ySplit="5" topLeftCell="A15" activePane="bottomLeft" state="frozen"/>
      <selection pane="bottomLeft" activeCell="A15" sqref="A15"/>
    </sheetView>
  </sheetViews>
  <sheetFormatPr baseColWidth="10" defaultColWidth="9.140625" defaultRowHeight="15"/>
  <cols>
    <col min="1" max="1" width="5.5703125" bestFit="1" customWidth="1"/>
    <col min="2" max="2" width="5.42578125" bestFit="1" customWidth="1"/>
    <col min="3" max="3" width="6.5703125" bestFit="1" customWidth="1"/>
    <col min="5" max="5" width="3.5703125" bestFit="1" customWidth="1"/>
    <col min="6" max="6" width="6.7109375" bestFit="1" customWidth="1"/>
    <col min="7" max="7" width="33" bestFit="1" customWidth="1"/>
    <col min="8" max="8" width="10.7109375" bestFit="1" customWidth="1"/>
    <col min="9" max="9" width="30.85546875" bestFit="1" customWidth="1"/>
    <col min="10" max="10" width="10.7109375" bestFit="1" customWidth="1"/>
    <col min="11" max="11" width="4.28515625" bestFit="1" customWidth="1"/>
    <col min="12" max="12" width="14.5703125" bestFit="1" customWidth="1"/>
    <col min="13" max="13" width="46.42578125" bestFit="1" customWidth="1"/>
    <col min="14" max="14" width="46.5703125" customWidth="1"/>
    <col min="15" max="15" width="13.140625" style="15" bestFit="1" customWidth="1"/>
    <col min="16" max="16" width="7" style="15" bestFit="1" customWidth="1"/>
    <col min="17" max="17" width="11.5703125" style="15" bestFit="1" customWidth="1"/>
    <col min="18" max="19" width="10.5703125" style="15" bestFit="1" customWidth="1"/>
    <col min="20" max="20" width="13.140625" style="15" bestFit="1" customWidth="1"/>
    <col min="21" max="21" width="4.140625" bestFit="1" customWidth="1"/>
  </cols>
  <sheetData>
    <row r="1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2"/>
      <c r="P1" s="12"/>
      <c r="Q1" s="12"/>
      <c r="R1" s="12"/>
      <c r="S1" s="12"/>
      <c r="T1" s="12"/>
      <c r="U1" s="2"/>
    </row>
    <row r="2" spans="1:2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3"/>
      <c r="P2" s="13"/>
      <c r="Q2" s="13"/>
      <c r="R2" s="13"/>
      <c r="S2" s="13"/>
      <c r="T2" s="13"/>
      <c r="U2" s="4"/>
    </row>
    <row r="3" spans="1:2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/>
      <c r="P3" s="12"/>
      <c r="Q3" s="12"/>
      <c r="R3" s="12"/>
      <c r="S3" s="12"/>
      <c r="T3" s="12"/>
      <c r="U3" s="2"/>
    </row>
    <row r="4" spans="1:2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3"/>
      <c r="P4" s="13"/>
      <c r="Q4" s="13"/>
      <c r="R4" s="13"/>
      <c r="S4" s="13"/>
      <c r="T4" s="13"/>
      <c r="U4" s="4"/>
    </row>
    <row r="5" spans="1:23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1" t="s">
        <v>24</v>
      </c>
      <c r="W5" s="14" t="s">
        <v>277</v>
      </c>
    </row>
    <row r="6" spans="1:23">
      <c r="A6" t="s">
        <v>25</v>
      </c>
      <c r="B6" t="s">
        <v>26</v>
      </c>
      <c r="C6" t="s">
        <v>27</v>
      </c>
      <c r="D6" s="6"/>
      <c r="E6" t="s">
        <v>28</v>
      </c>
      <c r="F6" t="s">
        <v>29</v>
      </c>
      <c r="G6" t="s">
        <v>30</v>
      </c>
      <c r="H6" t="s">
        <v>31</v>
      </c>
      <c r="I6" t="s">
        <v>32</v>
      </c>
      <c r="J6" s="6">
        <v>46203</v>
      </c>
      <c r="K6" t="s">
        <v>33</v>
      </c>
      <c r="L6" t="s">
        <v>34</v>
      </c>
      <c r="M6" t="s">
        <v>35</v>
      </c>
      <c r="N6" t="s">
        <v>36</v>
      </c>
      <c r="O6" s="15">
        <v>431.03</v>
      </c>
      <c r="P6" s="15">
        <v>0</v>
      </c>
      <c r="Q6" s="15">
        <v>68.97</v>
      </c>
      <c r="R6" s="15">
        <v>0</v>
      </c>
      <c r="S6" s="15">
        <v>0</v>
      </c>
      <c r="T6" s="15">
        <v>500</v>
      </c>
      <c r="U6" t="s">
        <v>37</v>
      </c>
      <c r="W6" s="15">
        <v>1</v>
      </c>
    </row>
    <row r="7" spans="1:23">
      <c r="A7" t="s">
        <v>25</v>
      </c>
      <c r="B7" t="s">
        <v>26</v>
      </c>
      <c r="C7" t="s">
        <v>27</v>
      </c>
      <c r="D7" s="6"/>
      <c r="E7" t="s">
        <v>28</v>
      </c>
      <c r="F7" t="s">
        <v>29</v>
      </c>
      <c r="G7" t="s">
        <v>38</v>
      </c>
      <c r="H7" t="s">
        <v>39</v>
      </c>
      <c r="I7" t="s">
        <v>40</v>
      </c>
      <c r="J7" s="6">
        <v>46203</v>
      </c>
      <c r="K7" t="s">
        <v>33</v>
      </c>
      <c r="L7" t="s">
        <v>41</v>
      </c>
      <c r="M7" t="s">
        <v>42</v>
      </c>
      <c r="N7" t="s">
        <v>43</v>
      </c>
      <c r="O7" s="15">
        <v>257.76</v>
      </c>
      <c r="P7" s="15">
        <v>0</v>
      </c>
      <c r="Q7" s="15">
        <v>41.24</v>
      </c>
      <c r="R7" s="15">
        <v>0</v>
      </c>
      <c r="S7" s="15">
        <v>0</v>
      </c>
      <c r="T7" s="15">
        <v>299</v>
      </c>
      <c r="U7" t="s">
        <v>37</v>
      </c>
      <c r="W7" s="15">
        <v>2</v>
      </c>
    </row>
    <row r="8" spans="1:23">
      <c r="A8" t="s">
        <v>25</v>
      </c>
      <c r="B8" t="s">
        <v>26</v>
      </c>
      <c r="C8" t="s">
        <v>27</v>
      </c>
      <c r="D8" s="6"/>
      <c r="E8" t="s">
        <v>28</v>
      </c>
      <c r="F8" t="s">
        <v>29</v>
      </c>
      <c r="G8" t="s">
        <v>44</v>
      </c>
      <c r="H8" t="s">
        <v>45</v>
      </c>
      <c r="I8" t="s">
        <v>46</v>
      </c>
      <c r="J8" s="6">
        <v>46203</v>
      </c>
      <c r="K8" t="s">
        <v>33</v>
      </c>
      <c r="L8" t="s">
        <v>47</v>
      </c>
      <c r="M8" t="s">
        <v>48</v>
      </c>
      <c r="N8" t="s">
        <v>49</v>
      </c>
      <c r="O8" s="15">
        <v>335.36</v>
      </c>
      <c r="P8" s="15">
        <v>0</v>
      </c>
      <c r="Q8" s="15">
        <v>53.66</v>
      </c>
      <c r="R8" s="15">
        <v>0</v>
      </c>
      <c r="S8" s="15">
        <v>0</v>
      </c>
      <c r="T8" s="15">
        <v>389.02</v>
      </c>
      <c r="U8" t="s">
        <v>37</v>
      </c>
      <c r="W8" s="15">
        <v>3</v>
      </c>
    </row>
    <row r="9" spans="1:23">
      <c r="A9" t="s">
        <v>25</v>
      </c>
      <c r="B9" t="s">
        <v>26</v>
      </c>
      <c r="C9" t="s">
        <v>27</v>
      </c>
      <c r="D9" s="6"/>
      <c r="E9" t="s">
        <v>28</v>
      </c>
      <c r="F9" t="s">
        <v>29</v>
      </c>
      <c r="G9" t="s">
        <v>50</v>
      </c>
      <c r="H9" t="s">
        <v>45</v>
      </c>
      <c r="I9" t="s">
        <v>51</v>
      </c>
      <c r="J9" s="6">
        <v>46203</v>
      </c>
      <c r="K9" t="s">
        <v>33</v>
      </c>
      <c r="L9" t="s">
        <v>52</v>
      </c>
      <c r="M9" t="s">
        <v>53</v>
      </c>
      <c r="N9" t="s">
        <v>54</v>
      </c>
      <c r="O9" s="15">
        <v>18400</v>
      </c>
      <c r="P9" s="15">
        <v>0</v>
      </c>
      <c r="Q9" s="15">
        <v>2944</v>
      </c>
      <c r="R9" s="15">
        <v>1962.67</v>
      </c>
      <c r="S9" s="15">
        <v>1840</v>
      </c>
      <c r="T9" s="15">
        <v>17541.330000000002</v>
      </c>
      <c r="U9" t="s">
        <v>37</v>
      </c>
      <c r="W9" s="15">
        <v>4</v>
      </c>
    </row>
    <row r="10" spans="1:23">
      <c r="A10" t="s">
        <v>25</v>
      </c>
      <c r="B10" t="s">
        <v>26</v>
      </c>
      <c r="C10" t="s">
        <v>27</v>
      </c>
      <c r="D10" s="6"/>
      <c r="E10" t="s">
        <v>28</v>
      </c>
      <c r="F10" t="s">
        <v>29</v>
      </c>
      <c r="G10" t="s">
        <v>55</v>
      </c>
      <c r="H10" t="s">
        <v>56</v>
      </c>
      <c r="I10" t="s">
        <v>57</v>
      </c>
      <c r="J10" s="6">
        <v>46203</v>
      </c>
      <c r="K10" t="s">
        <v>33</v>
      </c>
      <c r="L10" t="s">
        <v>58</v>
      </c>
      <c r="M10" t="s">
        <v>59</v>
      </c>
      <c r="N10" t="s">
        <v>60</v>
      </c>
      <c r="O10" s="15">
        <v>3258.62</v>
      </c>
      <c r="P10" s="15">
        <v>0</v>
      </c>
      <c r="Q10" s="15">
        <v>521.38</v>
      </c>
      <c r="R10" s="15">
        <v>0</v>
      </c>
      <c r="S10" s="15">
        <v>0</v>
      </c>
      <c r="T10" s="15">
        <v>3780</v>
      </c>
      <c r="U10" t="s">
        <v>37</v>
      </c>
      <c r="W10" s="15">
        <v>5</v>
      </c>
    </row>
    <row r="11" spans="1:23">
      <c r="A11" t="s">
        <v>25</v>
      </c>
      <c r="B11" t="s">
        <v>26</v>
      </c>
      <c r="C11" t="s">
        <v>27</v>
      </c>
      <c r="D11" s="6"/>
      <c r="E11" t="s">
        <v>28</v>
      </c>
      <c r="F11" t="s">
        <v>29</v>
      </c>
      <c r="G11" t="s">
        <v>61</v>
      </c>
      <c r="H11" t="s">
        <v>45</v>
      </c>
      <c r="I11" t="s">
        <v>62</v>
      </c>
      <c r="J11" s="6">
        <v>46203</v>
      </c>
      <c r="K11" t="s">
        <v>33</v>
      </c>
      <c r="L11" t="s">
        <v>52</v>
      </c>
      <c r="M11" t="s">
        <v>53</v>
      </c>
      <c r="N11" t="s">
        <v>63</v>
      </c>
      <c r="O11" s="15">
        <v>18400</v>
      </c>
      <c r="P11" s="15">
        <v>0</v>
      </c>
      <c r="Q11" s="15">
        <v>2944</v>
      </c>
      <c r="R11" s="15">
        <v>1962.67</v>
      </c>
      <c r="S11" s="15">
        <v>1840</v>
      </c>
      <c r="T11" s="15">
        <v>17541.330000000002</v>
      </c>
      <c r="U11" t="s">
        <v>37</v>
      </c>
      <c r="W11" s="15">
        <v>6</v>
      </c>
    </row>
    <row r="12" spans="1:23">
      <c r="A12" t="s">
        <v>25</v>
      </c>
      <c r="B12" t="s">
        <v>26</v>
      </c>
      <c r="C12" t="s">
        <v>27</v>
      </c>
      <c r="D12" s="6"/>
      <c r="E12" t="s">
        <v>28</v>
      </c>
      <c r="F12" t="s">
        <v>29</v>
      </c>
      <c r="G12" t="s">
        <v>64</v>
      </c>
      <c r="H12" t="s">
        <v>45</v>
      </c>
      <c r="I12" t="s">
        <v>65</v>
      </c>
      <c r="J12" s="6">
        <v>46203</v>
      </c>
      <c r="K12" t="s">
        <v>33</v>
      </c>
      <c r="L12" t="s">
        <v>52</v>
      </c>
      <c r="M12" t="s">
        <v>53</v>
      </c>
      <c r="N12" t="s">
        <v>66</v>
      </c>
      <c r="O12" s="15">
        <v>18400</v>
      </c>
      <c r="P12" s="15">
        <v>0</v>
      </c>
      <c r="Q12" s="15">
        <v>2944</v>
      </c>
      <c r="R12" s="15">
        <v>1962.67</v>
      </c>
      <c r="S12" s="15">
        <v>1840</v>
      </c>
      <c r="T12" s="15">
        <v>17541.330000000002</v>
      </c>
      <c r="U12" t="s">
        <v>37</v>
      </c>
      <c r="W12" s="15">
        <v>7</v>
      </c>
    </row>
    <row r="13" spans="1:23">
      <c r="A13" t="s">
        <v>25</v>
      </c>
      <c r="B13" t="s">
        <v>26</v>
      </c>
      <c r="C13" t="s">
        <v>27</v>
      </c>
      <c r="D13" s="6"/>
      <c r="E13" t="s">
        <v>28</v>
      </c>
      <c r="F13" t="s">
        <v>29</v>
      </c>
      <c r="G13" t="s">
        <v>67</v>
      </c>
      <c r="H13" t="s">
        <v>45</v>
      </c>
      <c r="I13" t="s">
        <v>68</v>
      </c>
      <c r="J13" s="6">
        <v>46203</v>
      </c>
      <c r="K13" t="s">
        <v>33</v>
      </c>
      <c r="L13" t="s">
        <v>52</v>
      </c>
      <c r="M13" t="s">
        <v>53</v>
      </c>
      <c r="N13" t="s">
        <v>69</v>
      </c>
      <c r="O13" s="15">
        <v>18400</v>
      </c>
      <c r="P13" s="15">
        <v>0</v>
      </c>
      <c r="Q13" s="15">
        <v>2944</v>
      </c>
      <c r="R13" s="15">
        <v>1962.67</v>
      </c>
      <c r="S13" s="15">
        <v>1840</v>
      </c>
      <c r="T13" s="15">
        <v>17541.330000000002</v>
      </c>
      <c r="U13" t="s">
        <v>37</v>
      </c>
      <c r="W13" s="15">
        <v>8</v>
      </c>
    </row>
    <row r="14" spans="1:23">
      <c r="A14" t="s">
        <v>25</v>
      </c>
      <c r="B14" t="s">
        <v>26</v>
      </c>
      <c r="C14" t="s">
        <v>27</v>
      </c>
      <c r="D14" s="6"/>
      <c r="E14" t="s">
        <v>28</v>
      </c>
      <c r="F14" t="s">
        <v>29</v>
      </c>
      <c r="G14" t="s">
        <v>70</v>
      </c>
      <c r="H14" t="s">
        <v>45</v>
      </c>
      <c r="I14" t="s">
        <v>71</v>
      </c>
      <c r="J14" s="6">
        <v>46203</v>
      </c>
      <c r="K14" t="s">
        <v>33</v>
      </c>
      <c r="L14" t="s">
        <v>52</v>
      </c>
      <c r="M14" t="s">
        <v>53</v>
      </c>
      <c r="N14" t="s">
        <v>72</v>
      </c>
      <c r="O14" s="15">
        <v>18400</v>
      </c>
      <c r="P14" s="15">
        <v>0</v>
      </c>
      <c r="Q14" s="15">
        <v>2944</v>
      </c>
      <c r="R14" s="15">
        <v>1962.67</v>
      </c>
      <c r="S14" s="15">
        <v>1840</v>
      </c>
      <c r="T14" s="15">
        <v>17541.330000000002</v>
      </c>
      <c r="U14" t="s">
        <v>37</v>
      </c>
      <c r="W14" s="15">
        <v>9</v>
      </c>
    </row>
    <row r="15" spans="1:23">
      <c r="A15" t="s">
        <v>25</v>
      </c>
      <c r="B15" t="s">
        <v>26</v>
      </c>
      <c r="C15" t="s">
        <v>27</v>
      </c>
      <c r="D15" s="6"/>
      <c r="E15" t="s">
        <v>28</v>
      </c>
      <c r="F15" t="s">
        <v>29</v>
      </c>
      <c r="G15" t="s">
        <v>73</v>
      </c>
      <c r="H15" t="s">
        <v>45</v>
      </c>
      <c r="I15" t="s">
        <v>74</v>
      </c>
      <c r="J15" s="6">
        <v>46203</v>
      </c>
      <c r="K15" t="s">
        <v>33</v>
      </c>
      <c r="L15" t="s">
        <v>52</v>
      </c>
      <c r="M15" t="s">
        <v>53</v>
      </c>
      <c r="N15" t="s">
        <v>75</v>
      </c>
      <c r="O15" s="15">
        <v>18400</v>
      </c>
      <c r="P15" s="15">
        <v>0</v>
      </c>
      <c r="Q15" s="15">
        <v>2944</v>
      </c>
      <c r="R15" s="15">
        <v>1962.67</v>
      </c>
      <c r="S15" s="15">
        <v>1840</v>
      </c>
      <c r="T15" s="15">
        <v>17541.330000000002</v>
      </c>
      <c r="U15" t="s">
        <v>37</v>
      </c>
      <c r="W15" s="15">
        <v>10</v>
      </c>
    </row>
    <row r="16" spans="1:23">
      <c r="A16" t="s">
        <v>25</v>
      </c>
      <c r="B16" t="s">
        <v>26</v>
      </c>
      <c r="C16" t="s">
        <v>27</v>
      </c>
      <c r="D16" s="6"/>
      <c r="E16" t="s">
        <v>28</v>
      </c>
      <c r="F16" t="s">
        <v>29</v>
      </c>
      <c r="G16" t="s">
        <v>76</v>
      </c>
      <c r="I16" t="s">
        <v>77</v>
      </c>
      <c r="J16" s="6">
        <v>46203</v>
      </c>
      <c r="K16" t="s">
        <v>33</v>
      </c>
      <c r="L16" t="s">
        <v>78</v>
      </c>
      <c r="M16" t="s">
        <v>79</v>
      </c>
      <c r="N16" t="s">
        <v>80</v>
      </c>
      <c r="O16" s="15">
        <v>842.24</v>
      </c>
      <c r="P16" s="15">
        <v>0</v>
      </c>
      <c r="Q16" s="15">
        <v>134.76</v>
      </c>
      <c r="R16" s="15">
        <v>0</v>
      </c>
      <c r="S16" s="15">
        <v>0</v>
      </c>
      <c r="T16" s="15">
        <v>977</v>
      </c>
      <c r="U16" t="s">
        <v>37</v>
      </c>
      <c r="W16" s="15">
        <v>11</v>
      </c>
    </row>
    <row r="17" spans="1:23">
      <c r="A17" t="s">
        <v>25</v>
      </c>
      <c r="B17" t="s">
        <v>26</v>
      </c>
      <c r="C17" t="s">
        <v>27</v>
      </c>
      <c r="D17" s="6"/>
      <c r="E17" t="s">
        <v>28</v>
      </c>
      <c r="F17" t="s">
        <v>29</v>
      </c>
      <c r="G17" t="s">
        <v>81</v>
      </c>
      <c r="H17" t="s">
        <v>82</v>
      </c>
      <c r="I17" t="s">
        <v>83</v>
      </c>
      <c r="J17" s="6">
        <v>46203</v>
      </c>
      <c r="K17" t="s">
        <v>33</v>
      </c>
      <c r="L17" t="s">
        <v>84</v>
      </c>
      <c r="M17" t="s">
        <v>85</v>
      </c>
      <c r="N17" t="s">
        <v>86</v>
      </c>
      <c r="O17" s="15">
        <v>748.66</v>
      </c>
      <c r="P17" s="15">
        <v>15.96</v>
      </c>
      <c r="Q17" s="15">
        <v>0</v>
      </c>
      <c r="R17" s="15">
        <v>0</v>
      </c>
      <c r="S17" s="15">
        <v>0</v>
      </c>
      <c r="T17" s="15">
        <v>732.7</v>
      </c>
      <c r="U17" t="s">
        <v>37</v>
      </c>
      <c r="W17" s="15">
        <v>12</v>
      </c>
    </row>
    <row r="18" spans="1:23">
      <c r="A18" t="s">
        <v>25</v>
      </c>
      <c r="B18" t="s">
        <v>26</v>
      </c>
      <c r="C18" t="s">
        <v>27</v>
      </c>
      <c r="D18" s="6"/>
      <c r="E18" t="s">
        <v>28</v>
      </c>
      <c r="F18" t="s">
        <v>29</v>
      </c>
      <c r="G18" t="s">
        <v>87</v>
      </c>
      <c r="H18" t="s">
        <v>88</v>
      </c>
      <c r="I18" t="s">
        <v>89</v>
      </c>
      <c r="J18" s="6">
        <v>46202</v>
      </c>
      <c r="K18" t="s">
        <v>33</v>
      </c>
      <c r="L18" t="s">
        <v>90</v>
      </c>
      <c r="M18" t="s">
        <v>91</v>
      </c>
      <c r="N18" t="s">
        <v>92</v>
      </c>
      <c r="O18" s="15">
        <v>8690</v>
      </c>
      <c r="P18" s="15">
        <v>0</v>
      </c>
      <c r="Q18" s="15">
        <v>1390.4</v>
      </c>
      <c r="R18" s="15">
        <v>0</v>
      </c>
      <c r="S18" s="15">
        <v>0</v>
      </c>
      <c r="T18" s="15">
        <v>10080.4</v>
      </c>
      <c r="U18" t="s">
        <v>93</v>
      </c>
      <c r="W18" s="15">
        <v>13</v>
      </c>
    </row>
    <row r="19" spans="1:23">
      <c r="A19" t="s">
        <v>25</v>
      </c>
      <c r="B19" t="s">
        <v>26</v>
      </c>
      <c r="C19" t="s">
        <v>27</v>
      </c>
      <c r="D19" s="6"/>
      <c r="E19" t="s">
        <v>28</v>
      </c>
      <c r="F19" t="s">
        <v>29</v>
      </c>
      <c r="G19" t="s">
        <v>94</v>
      </c>
      <c r="H19" t="s">
        <v>95</v>
      </c>
      <c r="I19" t="s">
        <v>96</v>
      </c>
      <c r="J19" s="6">
        <v>46200</v>
      </c>
      <c r="K19" t="s">
        <v>33</v>
      </c>
      <c r="L19" t="s">
        <v>97</v>
      </c>
      <c r="M19" t="s">
        <v>98</v>
      </c>
      <c r="N19" t="s">
        <v>99</v>
      </c>
      <c r="O19" s="15">
        <v>807.06</v>
      </c>
      <c r="P19" s="15">
        <v>0</v>
      </c>
      <c r="Q19" s="15">
        <v>125.34</v>
      </c>
      <c r="R19" s="15">
        <v>0</v>
      </c>
      <c r="S19" s="15">
        <v>0</v>
      </c>
      <c r="T19" s="15">
        <v>932.4</v>
      </c>
      <c r="U19" t="s">
        <v>37</v>
      </c>
      <c r="W19" s="15">
        <v>14</v>
      </c>
    </row>
    <row r="20" spans="1:23">
      <c r="A20" t="s">
        <v>25</v>
      </c>
      <c r="B20" t="s">
        <v>26</v>
      </c>
      <c r="C20" t="s">
        <v>27</v>
      </c>
      <c r="D20" s="6"/>
      <c r="E20" t="s">
        <v>28</v>
      </c>
      <c r="F20" t="s">
        <v>29</v>
      </c>
      <c r="G20" t="s">
        <v>100</v>
      </c>
      <c r="H20" t="s">
        <v>101</v>
      </c>
      <c r="I20" t="s">
        <v>102</v>
      </c>
      <c r="J20" s="6">
        <v>46199</v>
      </c>
      <c r="K20" t="s">
        <v>33</v>
      </c>
      <c r="L20" t="s">
        <v>103</v>
      </c>
      <c r="M20" t="s">
        <v>104</v>
      </c>
      <c r="N20" t="s">
        <v>105</v>
      </c>
      <c r="O20" s="15">
        <v>521.54999999999995</v>
      </c>
      <c r="P20" s="15">
        <v>25.86</v>
      </c>
      <c r="Q20" s="15">
        <v>79.31</v>
      </c>
      <c r="R20" s="15">
        <v>0</v>
      </c>
      <c r="S20" s="15">
        <v>0</v>
      </c>
      <c r="T20" s="15">
        <v>575</v>
      </c>
      <c r="U20" t="s">
        <v>37</v>
      </c>
      <c r="W20" s="15">
        <v>15</v>
      </c>
    </row>
    <row r="21" spans="1:23">
      <c r="A21" t="s">
        <v>25</v>
      </c>
      <c r="B21" t="s">
        <v>26</v>
      </c>
      <c r="C21" t="s">
        <v>27</v>
      </c>
      <c r="D21" s="6"/>
      <c r="E21" t="s">
        <v>28</v>
      </c>
      <c r="F21" t="s">
        <v>29</v>
      </c>
      <c r="G21" t="s">
        <v>106</v>
      </c>
      <c r="H21" t="s">
        <v>101</v>
      </c>
      <c r="I21" t="s">
        <v>107</v>
      </c>
      <c r="J21" s="6">
        <v>46199</v>
      </c>
      <c r="K21" t="s">
        <v>33</v>
      </c>
      <c r="L21" t="s">
        <v>103</v>
      </c>
      <c r="M21" t="s">
        <v>104</v>
      </c>
      <c r="N21" t="s">
        <v>108</v>
      </c>
      <c r="O21" s="15">
        <v>521.54999999999995</v>
      </c>
      <c r="P21" s="15">
        <v>0</v>
      </c>
      <c r="Q21" s="15">
        <v>83.45</v>
      </c>
      <c r="R21" s="15">
        <v>0</v>
      </c>
      <c r="S21" s="15">
        <v>0</v>
      </c>
      <c r="T21" s="15">
        <v>605</v>
      </c>
      <c r="U21" t="s">
        <v>37</v>
      </c>
      <c r="W21" s="15">
        <v>16</v>
      </c>
    </row>
    <row r="22" spans="1:23">
      <c r="A22" t="s">
        <v>25</v>
      </c>
      <c r="B22" t="s">
        <v>26</v>
      </c>
      <c r="C22" t="s">
        <v>27</v>
      </c>
      <c r="D22" s="6"/>
      <c r="E22" t="s">
        <v>28</v>
      </c>
      <c r="F22" t="s">
        <v>29</v>
      </c>
      <c r="G22" t="s">
        <v>109</v>
      </c>
      <c r="H22" t="s">
        <v>88</v>
      </c>
      <c r="I22" t="s">
        <v>110</v>
      </c>
      <c r="J22" s="6">
        <v>46198</v>
      </c>
      <c r="K22" t="s">
        <v>33</v>
      </c>
      <c r="L22" t="s">
        <v>111</v>
      </c>
      <c r="M22" t="s">
        <v>112</v>
      </c>
      <c r="N22" t="s">
        <v>113</v>
      </c>
      <c r="O22" s="15">
        <v>59460</v>
      </c>
      <c r="P22" s="15">
        <v>0</v>
      </c>
      <c r="Q22" s="15">
        <v>9513.6</v>
      </c>
      <c r="R22" s="15">
        <v>0</v>
      </c>
      <c r="S22" s="15">
        <v>0</v>
      </c>
      <c r="T22" s="15">
        <v>68973.600000000006</v>
      </c>
      <c r="U22" t="s">
        <v>93</v>
      </c>
      <c r="W22" s="15">
        <v>17</v>
      </c>
    </row>
    <row r="23" spans="1:23">
      <c r="A23" t="s">
        <v>25</v>
      </c>
      <c r="B23" t="s">
        <v>26</v>
      </c>
      <c r="C23" t="s">
        <v>27</v>
      </c>
      <c r="D23" s="6"/>
      <c r="E23" t="s">
        <v>28</v>
      </c>
      <c r="F23" t="s">
        <v>29</v>
      </c>
      <c r="G23" t="s">
        <v>114</v>
      </c>
      <c r="H23" t="s">
        <v>88</v>
      </c>
      <c r="I23" t="s">
        <v>115</v>
      </c>
      <c r="J23" s="6">
        <v>46198</v>
      </c>
      <c r="K23" t="s">
        <v>33</v>
      </c>
      <c r="L23" t="s">
        <v>111</v>
      </c>
      <c r="M23" t="s">
        <v>112</v>
      </c>
      <c r="N23" t="s">
        <v>116</v>
      </c>
      <c r="O23" s="15">
        <v>131955</v>
      </c>
      <c r="P23" s="15">
        <v>0</v>
      </c>
      <c r="Q23" s="15">
        <v>21112.799999999999</v>
      </c>
      <c r="R23" s="15">
        <v>0</v>
      </c>
      <c r="S23" s="15">
        <v>0</v>
      </c>
      <c r="T23" s="15">
        <v>153067.79999999999</v>
      </c>
      <c r="U23" t="s">
        <v>93</v>
      </c>
      <c r="W23" s="15">
        <v>18</v>
      </c>
    </row>
    <row r="24" spans="1:23">
      <c r="A24" t="s">
        <v>25</v>
      </c>
      <c r="B24" t="s">
        <v>26</v>
      </c>
      <c r="C24" t="s">
        <v>27</v>
      </c>
      <c r="D24" s="6"/>
      <c r="E24" t="s">
        <v>28</v>
      </c>
      <c r="F24" t="s">
        <v>29</v>
      </c>
      <c r="G24" t="s">
        <v>117</v>
      </c>
      <c r="H24" t="s">
        <v>45</v>
      </c>
      <c r="I24" t="s">
        <v>118</v>
      </c>
      <c r="J24" s="6">
        <v>46197</v>
      </c>
      <c r="K24" t="s">
        <v>33</v>
      </c>
      <c r="L24" t="s">
        <v>119</v>
      </c>
      <c r="M24" t="s">
        <v>120</v>
      </c>
      <c r="N24" t="s">
        <v>121</v>
      </c>
      <c r="O24" s="15">
        <v>862.07</v>
      </c>
      <c r="P24" s="15">
        <v>0</v>
      </c>
      <c r="Q24" s="15">
        <v>137.93</v>
      </c>
      <c r="R24" s="15">
        <v>0</v>
      </c>
      <c r="S24" s="15">
        <v>0</v>
      </c>
      <c r="T24" s="15">
        <v>1000</v>
      </c>
      <c r="U24" t="s">
        <v>37</v>
      </c>
      <c r="W24" s="15">
        <v>19</v>
      </c>
    </row>
    <row r="25" spans="1:23">
      <c r="A25" t="s">
        <v>25</v>
      </c>
      <c r="B25" t="s">
        <v>26</v>
      </c>
      <c r="C25" t="s">
        <v>27</v>
      </c>
      <c r="D25" s="6"/>
      <c r="E25" t="s">
        <v>28</v>
      </c>
      <c r="F25" t="s">
        <v>29</v>
      </c>
      <c r="G25" t="s">
        <v>122</v>
      </c>
      <c r="H25" t="s">
        <v>123</v>
      </c>
      <c r="I25" t="s">
        <v>124</v>
      </c>
      <c r="J25" s="6">
        <v>46196</v>
      </c>
      <c r="K25" t="s">
        <v>33</v>
      </c>
      <c r="L25" t="s">
        <v>125</v>
      </c>
      <c r="M25" t="s">
        <v>126</v>
      </c>
      <c r="N25" t="s">
        <v>127</v>
      </c>
      <c r="O25" s="15">
        <v>112.93</v>
      </c>
      <c r="P25" s="15">
        <v>0</v>
      </c>
      <c r="Q25" s="15">
        <v>18.07</v>
      </c>
      <c r="R25" s="15">
        <v>0</v>
      </c>
      <c r="S25" s="15">
        <v>0</v>
      </c>
      <c r="T25" s="15">
        <v>131</v>
      </c>
      <c r="U25" t="s">
        <v>37</v>
      </c>
      <c r="W25" s="15">
        <v>20</v>
      </c>
    </row>
    <row r="26" spans="1:23">
      <c r="A26" t="s">
        <v>25</v>
      </c>
      <c r="B26" t="s">
        <v>26</v>
      </c>
      <c r="C26" t="s">
        <v>27</v>
      </c>
      <c r="D26" s="6"/>
      <c r="E26" t="s">
        <v>28</v>
      </c>
      <c r="F26" t="s">
        <v>29</v>
      </c>
      <c r="G26" t="s">
        <v>128</v>
      </c>
      <c r="H26" t="s">
        <v>129</v>
      </c>
      <c r="I26" t="s">
        <v>130</v>
      </c>
      <c r="J26" s="6">
        <v>46196</v>
      </c>
      <c r="K26" t="s">
        <v>33</v>
      </c>
      <c r="L26" t="s">
        <v>131</v>
      </c>
      <c r="M26" t="s">
        <v>132</v>
      </c>
      <c r="N26" t="s">
        <v>133</v>
      </c>
      <c r="O26" s="15">
        <v>215.46</v>
      </c>
      <c r="P26" s="15">
        <v>0</v>
      </c>
      <c r="Q26" s="15">
        <v>34.47</v>
      </c>
      <c r="R26" s="15">
        <v>0</v>
      </c>
      <c r="S26" s="15">
        <v>0</v>
      </c>
      <c r="T26" s="15">
        <v>249.93</v>
      </c>
      <c r="U26" t="s">
        <v>37</v>
      </c>
      <c r="W26" s="15">
        <v>21</v>
      </c>
    </row>
    <row r="27" spans="1:23">
      <c r="A27" t="s">
        <v>25</v>
      </c>
      <c r="B27" t="s">
        <v>26</v>
      </c>
      <c r="C27" t="s">
        <v>27</v>
      </c>
      <c r="D27" s="6"/>
      <c r="E27" t="s">
        <v>28</v>
      </c>
      <c r="F27" t="s">
        <v>29</v>
      </c>
      <c r="G27" t="s">
        <v>134</v>
      </c>
      <c r="H27" t="s">
        <v>95</v>
      </c>
      <c r="I27" t="s">
        <v>135</v>
      </c>
      <c r="J27" s="6">
        <v>46194</v>
      </c>
      <c r="K27" t="s">
        <v>33</v>
      </c>
      <c r="L27" t="s">
        <v>97</v>
      </c>
      <c r="M27" t="s">
        <v>98</v>
      </c>
      <c r="N27" t="s">
        <v>136</v>
      </c>
      <c r="O27" s="15">
        <v>504.41</v>
      </c>
      <c r="P27" s="15">
        <v>0</v>
      </c>
      <c r="Q27" s="15">
        <v>78.34</v>
      </c>
      <c r="R27" s="15">
        <v>0</v>
      </c>
      <c r="S27" s="15">
        <v>0</v>
      </c>
      <c r="T27" s="15">
        <v>582.75</v>
      </c>
      <c r="U27" t="s">
        <v>37</v>
      </c>
      <c r="W27" s="15">
        <v>22</v>
      </c>
    </row>
    <row r="28" spans="1:23">
      <c r="A28" t="s">
        <v>25</v>
      </c>
      <c r="B28" t="s">
        <v>26</v>
      </c>
      <c r="C28" t="s">
        <v>27</v>
      </c>
      <c r="D28" s="6"/>
      <c r="E28" t="s">
        <v>28</v>
      </c>
      <c r="F28" t="s">
        <v>29</v>
      </c>
      <c r="G28" t="s">
        <v>137</v>
      </c>
      <c r="H28" t="s">
        <v>45</v>
      </c>
      <c r="I28" t="s">
        <v>138</v>
      </c>
      <c r="J28" s="6">
        <v>46192</v>
      </c>
      <c r="K28" t="s">
        <v>33</v>
      </c>
      <c r="L28" t="s">
        <v>139</v>
      </c>
      <c r="M28" t="s">
        <v>140</v>
      </c>
      <c r="N28" t="s">
        <v>141</v>
      </c>
      <c r="O28" s="15">
        <v>40988.74</v>
      </c>
      <c r="P28" s="15">
        <v>0</v>
      </c>
      <c r="Q28" s="15">
        <v>0</v>
      </c>
      <c r="R28" s="15">
        <v>0</v>
      </c>
      <c r="S28" s="15">
        <v>0</v>
      </c>
      <c r="T28" s="15">
        <v>40988.74</v>
      </c>
      <c r="U28" t="s">
        <v>37</v>
      </c>
      <c r="W28" s="15">
        <v>23</v>
      </c>
    </row>
    <row r="29" spans="1:23">
      <c r="A29" t="s">
        <v>25</v>
      </c>
      <c r="B29" t="s">
        <v>26</v>
      </c>
      <c r="C29" t="s">
        <v>27</v>
      </c>
      <c r="D29" s="6"/>
      <c r="E29" t="s">
        <v>28</v>
      </c>
      <c r="F29" t="s">
        <v>29</v>
      </c>
      <c r="G29" t="s">
        <v>142</v>
      </c>
      <c r="J29" s="6">
        <v>46191</v>
      </c>
      <c r="K29" t="s">
        <v>33</v>
      </c>
      <c r="L29" t="s">
        <v>143</v>
      </c>
      <c r="M29" t="s">
        <v>144</v>
      </c>
      <c r="N29" t="s">
        <v>145</v>
      </c>
      <c r="O29" s="15">
        <v>250</v>
      </c>
      <c r="P29" s="15">
        <v>0</v>
      </c>
      <c r="Q29" s="15">
        <v>0</v>
      </c>
      <c r="R29" s="15">
        <v>0</v>
      </c>
      <c r="S29" s="15">
        <v>0</v>
      </c>
      <c r="T29" s="15">
        <v>250</v>
      </c>
      <c r="U29" t="s">
        <v>37</v>
      </c>
      <c r="W29" s="15">
        <v>24</v>
      </c>
    </row>
    <row r="30" spans="1:23">
      <c r="A30" t="s">
        <v>25</v>
      </c>
      <c r="B30" t="s">
        <v>26</v>
      </c>
      <c r="C30" t="s">
        <v>27</v>
      </c>
      <c r="D30" s="6"/>
      <c r="E30" t="s">
        <v>28</v>
      </c>
      <c r="F30" t="s">
        <v>29</v>
      </c>
      <c r="G30" t="s">
        <v>146</v>
      </c>
      <c r="H30" t="s">
        <v>147</v>
      </c>
      <c r="I30" t="s">
        <v>148</v>
      </c>
      <c r="J30" s="6">
        <v>46191</v>
      </c>
      <c r="K30" t="s">
        <v>33</v>
      </c>
      <c r="L30" t="s">
        <v>149</v>
      </c>
      <c r="M30" t="s">
        <v>150</v>
      </c>
      <c r="N30" t="s">
        <v>151</v>
      </c>
      <c r="O30" s="15">
        <v>4309.4799999999996</v>
      </c>
      <c r="P30" s="15">
        <v>0</v>
      </c>
      <c r="Q30" s="15">
        <v>689.52</v>
      </c>
      <c r="R30" s="15">
        <v>0</v>
      </c>
      <c r="S30" s="15">
        <v>0</v>
      </c>
      <c r="T30" s="15">
        <v>4999</v>
      </c>
      <c r="U30" t="s">
        <v>37</v>
      </c>
      <c r="W30" s="15">
        <v>25</v>
      </c>
    </row>
    <row r="31" spans="1:23">
      <c r="A31" t="s">
        <v>25</v>
      </c>
      <c r="B31" t="s">
        <v>26</v>
      </c>
      <c r="C31" t="s">
        <v>27</v>
      </c>
      <c r="D31" s="6"/>
      <c r="E31" t="s">
        <v>28</v>
      </c>
      <c r="F31" t="s">
        <v>29</v>
      </c>
      <c r="G31" t="s">
        <v>152</v>
      </c>
      <c r="H31" t="s">
        <v>153</v>
      </c>
      <c r="I31" t="s">
        <v>154</v>
      </c>
      <c r="J31" s="6">
        <v>46191</v>
      </c>
      <c r="K31" t="s">
        <v>33</v>
      </c>
      <c r="L31" t="s">
        <v>155</v>
      </c>
      <c r="M31" t="s">
        <v>156</v>
      </c>
      <c r="N31" t="s">
        <v>157</v>
      </c>
      <c r="O31" s="15">
        <v>5893.62</v>
      </c>
      <c r="P31" s="15">
        <v>0</v>
      </c>
      <c r="Q31" s="15">
        <v>942.98</v>
      </c>
      <c r="R31" s="15">
        <v>0</v>
      </c>
      <c r="S31" s="15">
        <v>0</v>
      </c>
      <c r="T31" s="15">
        <v>6836.6</v>
      </c>
      <c r="U31" t="s">
        <v>93</v>
      </c>
      <c r="W31" s="15">
        <v>26</v>
      </c>
    </row>
    <row r="32" spans="1:23">
      <c r="A32" t="s">
        <v>25</v>
      </c>
      <c r="B32" t="s">
        <v>26</v>
      </c>
      <c r="C32" t="s">
        <v>27</v>
      </c>
      <c r="D32" s="6"/>
      <c r="E32" t="s">
        <v>28</v>
      </c>
      <c r="F32" t="s">
        <v>29</v>
      </c>
      <c r="G32" t="s">
        <v>158</v>
      </c>
      <c r="H32" t="s">
        <v>159</v>
      </c>
      <c r="I32" t="s">
        <v>160</v>
      </c>
      <c r="J32" s="6">
        <v>46189</v>
      </c>
      <c r="K32" t="s">
        <v>33</v>
      </c>
      <c r="L32" t="s">
        <v>161</v>
      </c>
      <c r="M32" t="s">
        <v>162</v>
      </c>
      <c r="N32" t="s">
        <v>163</v>
      </c>
      <c r="O32" s="15">
        <v>881.9</v>
      </c>
      <c r="P32" s="15">
        <v>0</v>
      </c>
      <c r="Q32" s="15">
        <v>141.1</v>
      </c>
      <c r="R32" s="15">
        <v>0</v>
      </c>
      <c r="S32" s="15">
        <v>0</v>
      </c>
      <c r="T32" s="15">
        <v>1023</v>
      </c>
      <c r="U32" t="s">
        <v>37</v>
      </c>
      <c r="W32" s="15">
        <v>27</v>
      </c>
    </row>
    <row r="33" spans="1:23" ht="17.25">
      <c r="A33" t="s">
        <v>25</v>
      </c>
      <c r="B33" t="s">
        <v>26</v>
      </c>
      <c r="C33" t="s">
        <v>27</v>
      </c>
      <c r="D33" s="6"/>
      <c r="E33" t="s">
        <v>28</v>
      </c>
      <c r="F33" t="s">
        <v>29</v>
      </c>
      <c r="G33" t="s">
        <v>164</v>
      </c>
      <c r="H33" t="s">
        <v>165</v>
      </c>
      <c r="I33" t="s">
        <v>166</v>
      </c>
      <c r="J33" s="6">
        <v>46189</v>
      </c>
      <c r="K33" t="s">
        <v>33</v>
      </c>
      <c r="L33" t="s">
        <v>167</v>
      </c>
      <c r="M33" t="s">
        <v>168</v>
      </c>
      <c r="N33" t="s">
        <v>169</v>
      </c>
      <c r="O33" s="15">
        <v>913.8</v>
      </c>
      <c r="P33" s="15">
        <v>0</v>
      </c>
      <c r="Q33" s="15">
        <v>146.19999999999999</v>
      </c>
      <c r="R33" s="34">
        <v>0</v>
      </c>
      <c r="S33" s="15">
        <v>0</v>
      </c>
      <c r="T33" s="15">
        <v>1060</v>
      </c>
      <c r="U33" t="s">
        <v>37</v>
      </c>
      <c r="W33" s="15">
        <v>28</v>
      </c>
    </row>
    <row r="34" spans="1:23">
      <c r="A34" t="s">
        <v>25</v>
      </c>
      <c r="B34" t="s">
        <v>26</v>
      </c>
      <c r="C34" t="s">
        <v>27</v>
      </c>
      <c r="D34" s="6"/>
      <c r="E34" t="s">
        <v>28</v>
      </c>
      <c r="F34" t="s">
        <v>29</v>
      </c>
      <c r="G34" t="s">
        <v>170</v>
      </c>
      <c r="H34" t="s">
        <v>95</v>
      </c>
      <c r="I34" t="s">
        <v>171</v>
      </c>
      <c r="J34" s="6">
        <v>46187</v>
      </c>
      <c r="K34" t="s">
        <v>33</v>
      </c>
      <c r="L34" t="s">
        <v>97</v>
      </c>
      <c r="M34" t="s">
        <v>98</v>
      </c>
      <c r="N34" t="s">
        <v>172</v>
      </c>
      <c r="O34" s="15">
        <v>605.29</v>
      </c>
      <c r="P34" s="15">
        <v>0</v>
      </c>
      <c r="Q34" s="15">
        <v>94.01</v>
      </c>
      <c r="R34" s="15">
        <v>0</v>
      </c>
      <c r="S34" s="15">
        <v>0</v>
      </c>
      <c r="T34" s="15">
        <v>699.3</v>
      </c>
      <c r="U34" t="s">
        <v>37</v>
      </c>
      <c r="W34" s="15">
        <v>29</v>
      </c>
    </row>
    <row r="35" spans="1:23">
      <c r="A35" t="s">
        <v>25</v>
      </c>
      <c r="B35" t="s">
        <v>26</v>
      </c>
      <c r="C35" t="s">
        <v>27</v>
      </c>
      <c r="D35" s="6"/>
      <c r="E35" t="s">
        <v>28</v>
      </c>
      <c r="F35" t="s">
        <v>29</v>
      </c>
      <c r="G35" t="s">
        <v>173</v>
      </c>
      <c r="H35" t="s">
        <v>95</v>
      </c>
      <c r="I35" t="s">
        <v>174</v>
      </c>
      <c r="J35" s="6">
        <v>46185</v>
      </c>
      <c r="K35" t="s">
        <v>33</v>
      </c>
      <c r="L35" t="s">
        <v>97</v>
      </c>
      <c r="M35" t="s">
        <v>98</v>
      </c>
      <c r="N35" t="s">
        <v>175</v>
      </c>
      <c r="O35" s="15">
        <v>1008.82</v>
      </c>
      <c r="P35" s="15">
        <v>0</v>
      </c>
      <c r="Q35" s="15">
        <v>156.68</v>
      </c>
      <c r="R35" s="15">
        <v>0</v>
      </c>
      <c r="S35" s="15">
        <v>0</v>
      </c>
      <c r="T35" s="15">
        <v>1165.5</v>
      </c>
      <c r="U35" t="s">
        <v>37</v>
      </c>
      <c r="W35" s="15">
        <v>30</v>
      </c>
    </row>
    <row r="36" spans="1:23">
      <c r="A36" t="s">
        <v>25</v>
      </c>
      <c r="B36" t="s">
        <v>26</v>
      </c>
      <c r="C36" t="s">
        <v>27</v>
      </c>
      <c r="D36" s="6"/>
      <c r="E36" t="s">
        <v>28</v>
      </c>
      <c r="F36" t="s">
        <v>29</v>
      </c>
      <c r="G36" t="s">
        <v>176</v>
      </c>
      <c r="H36" t="s">
        <v>123</v>
      </c>
      <c r="I36" t="s">
        <v>177</v>
      </c>
      <c r="J36" s="6">
        <v>46182</v>
      </c>
      <c r="K36" t="s">
        <v>33</v>
      </c>
      <c r="L36" t="s">
        <v>178</v>
      </c>
      <c r="M36" t="s">
        <v>179</v>
      </c>
      <c r="N36" t="s">
        <v>180</v>
      </c>
      <c r="O36" s="15">
        <v>40000</v>
      </c>
      <c r="P36" s="15">
        <v>0</v>
      </c>
      <c r="Q36" s="15">
        <v>6400</v>
      </c>
      <c r="R36" s="15">
        <v>0</v>
      </c>
      <c r="S36" s="15">
        <v>0</v>
      </c>
      <c r="T36" s="15">
        <v>46400</v>
      </c>
      <c r="U36" t="s">
        <v>37</v>
      </c>
      <c r="W36" s="15">
        <v>31</v>
      </c>
    </row>
    <row r="37" spans="1:23">
      <c r="A37" t="s">
        <v>25</v>
      </c>
      <c r="B37" t="s">
        <v>26</v>
      </c>
      <c r="C37" t="s">
        <v>27</v>
      </c>
      <c r="D37" s="6"/>
      <c r="E37" t="s">
        <v>28</v>
      </c>
      <c r="F37" t="s">
        <v>29</v>
      </c>
      <c r="G37" t="s">
        <v>181</v>
      </c>
      <c r="H37" t="s">
        <v>95</v>
      </c>
      <c r="I37" t="s">
        <v>182</v>
      </c>
      <c r="J37" s="6">
        <v>46180</v>
      </c>
      <c r="K37" t="s">
        <v>33</v>
      </c>
      <c r="L37" t="s">
        <v>97</v>
      </c>
      <c r="M37" t="s">
        <v>98</v>
      </c>
      <c r="N37" t="s">
        <v>183</v>
      </c>
      <c r="O37" s="15">
        <v>605.29</v>
      </c>
      <c r="P37" s="15">
        <v>0</v>
      </c>
      <c r="Q37" s="15">
        <v>94.01</v>
      </c>
      <c r="R37" s="15">
        <v>0</v>
      </c>
      <c r="S37" s="15">
        <v>0</v>
      </c>
      <c r="T37" s="15">
        <v>699.3</v>
      </c>
      <c r="U37" t="s">
        <v>37</v>
      </c>
      <c r="W37" s="15">
        <v>32</v>
      </c>
    </row>
    <row r="38" spans="1:23">
      <c r="A38" t="s">
        <v>25</v>
      </c>
      <c r="B38" t="s">
        <v>26</v>
      </c>
      <c r="C38" t="s">
        <v>27</v>
      </c>
      <c r="D38" s="6"/>
      <c r="E38" t="s">
        <v>28</v>
      </c>
      <c r="F38" t="s">
        <v>29</v>
      </c>
      <c r="G38" t="s">
        <v>184</v>
      </c>
      <c r="H38" t="s">
        <v>185</v>
      </c>
      <c r="I38" t="s">
        <v>186</v>
      </c>
      <c r="J38" s="6">
        <v>46177</v>
      </c>
      <c r="K38" t="s">
        <v>33</v>
      </c>
      <c r="L38" t="s">
        <v>187</v>
      </c>
      <c r="M38" t="s">
        <v>188</v>
      </c>
      <c r="N38" t="s">
        <v>189</v>
      </c>
      <c r="O38" s="15">
        <v>250</v>
      </c>
      <c r="P38" s="15">
        <v>0</v>
      </c>
      <c r="Q38" s="15">
        <v>40</v>
      </c>
      <c r="R38" s="15">
        <v>0</v>
      </c>
      <c r="S38" s="15">
        <v>0</v>
      </c>
      <c r="T38" s="15">
        <v>290</v>
      </c>
      <c r="U38" t="s">
        <v>37</v>
      </c>
      <c r="W38" s="15">
        <v>33</v>
      </c>
    </row>
    <row r="39" spans="1:23">
      <c r="A39" t="s">
        <v>25</v>
      </c>
      <c r="B39" t="s">
        <v>26</v>
      </c>
      <c r="C39" t="s">
        <v>27</v>
      </c>
      <c r="D39" s="6"/>
      <c r="E39" t="s">
        <v>28</v>
      </c>
      <c r="F39" t="s">
        <v>29</v>
      </c>
      <c r="G39" t="s">
        <v>190</v>
      </c>
      <c r="H39" t="s">
        <v>123</v>
      </c>
      <c r="I39" t="s">
        <v>191</v>
      </c>
      <c r="J39" s="6">
        <v>46175</v>
      </c>
      <c r="K39" t="s">
        <v>33</v>
      </c>
      <c r="L39" t="s">
        <v>192</v>
      </c>
      <c r="M39" t="s">
        <v>193</v>
      </c>
      <c r="N39" t="s">
        <v>194</v>
      </c>
      <c r="O39" s="15">
        <v>1222370.32</v>
      </c>
      <c r="P39" s="15">
        <v>0</v>
      </c>
      <c r="Q39" s="15">
        <v>195579.25</v>
      </c>
      <c r="R39" s="15">
        <v>0</v>
      </c>
      <c r="S39" s="15">
        <v>0</v>
      </c>
      <c r="T39" s="15">
        <v>1417949.57</v>
      </c>
      <c r="U39" t="s">
        <v>93</v>
      </c>
      <c r="W39" s="15">
        <v>34</v>
      </c>
    </row>
    <row r="40" spans="1:23">
      <c r="A40" t="s">
        <v>25</v>
      </c>
      <c r="B40" t="s">
        <v>26</v>
      </c>
      <c r="C40" t="s">
        <v>27</v>
      </c>
      <c r="D40" s="6"/>
      <c r="E40" t="s">
        <v>28</v>
      </c>
      <c r="F40" t="s">
        <v>29</v>
      </c>
      <c r="G40" t="s">
        <v>195</v>
      </c>
      <c r="H40" t="s">
        <v>129</v>
      </c>
      <c r="I40" t="s">
        <v>196</v>
      </c>
      <c r="J40" s="6">
        <v>46175</v>
      </c>
      <c r="K40" t="s">
        <v>33</v>
      </c>
      <c r="L40" t="s">
        <v>131</v>
      </c>
      <c r="M40" t="s">
        <v>132</v>
      </c>
      <c r="N40" t="s">
        <v>133</v>
      </c>
      <c r="O40" s="15">
        <v>146.56</v>
      </c>
      <c r="P40" s="15">
        <v>0</v>
      </c>
      <c r="Q40" s="15">
        <v>23.45</v>
      </c>
      <c r="R40" s="15">
        <v>0</v>
      </c>
      <c r="S40" s="15">
        <v>0</v>
      </c>
      <c r="T40" s="15">
        <v>170.01</v>
      </c>
      <c r="U40" t="s">
        <v>37</v>
      </c>
      <c r="W40" s="15">
        <v>35</v>
      </c>
    </row>
    <row r="41" spans="1:23">
      <c r="A41" t="s">
        <v>25</v>
      </c>
      <c r="B41" t="s">
        <v>26</v>
      </c>
      <c r="C41" t="s">
        <v>27</v>
      </c>
      <c r="D41" s="6"/>
      <c r="E41" t="s">
        <v>28</v>
      </c>
      <c r="F41" t="s">
        <v>29</v>
      </c>
      <c r="G41" t="s">
        <v>197</v>
      </c>
      <c r="H41" t="s">
        <v>45</v>
      </c>
      <c r="I41" t="s">
        <v>198</v>
      </c>
      <c r="J41" s="6">
        <v>46174</v>
      </c>
      <c r="K41" t="s">
        <v>33</v>
      </c>
      <c r="L41" t="s">
        <v>199</v>
      </c>
      <c r="M41" t="s">
        <v>200</v>
      </c>
      <c r="N41" t="s">
        <v>201</v>
      </c>
      <c r="O41" s="15">
        <v>4020</v>
      </c>
      <c r="P41" s="15">
        <v>0</v>
      </c>
      <c r="Q41" s="15">
        <v>643.20000000000005</v>
      </c>
      <c r="R41" s="15">
        <v>0</v>
      </c>
      <c r="S41" s="15">
        <v>0</v>
      </c>
      <c r="T41" s="15">
        <v>4663.2</v>
      </c>
      <c r="U41" t="s">
        <v>37</v>
      </c>
      <c r="W41" s="15">
        <v>36</v>
      </c>
    </row>
    <row r="42" spans="1:23">
      <c r="A42" t="s">
        <v>25</v>
      </c>
      <c r="B42" t="s">
        <v>26</v>
      </c>
      <c r="C42" t="s">
        <v>27</v>
      </c>
      <c r="D42" s="6"/>
      <c r="E42" t="s">
        <v>28</v>
      </c>
      <c r="F42" t="s">
        <v>29</v>
      </c>
      <c r="G42" t="s">
        <v>202</v>
      </c>
      <c r="I42" t="s">
        <v>203</v>
      </c>
      <c r="J42" s="6">
        <v>46174</v>
      </c>
      <c r="K42" t="s">
        <v>33</v>
      </c>
      <c r="L42" t="s">
        <v>204</v>
      </c>
      <c r="M42" t="s">
        <v>205</v>
      </c>
      <c r="N42" t="s">
        <v>206</v>
      </c>
      <c r="O42" s="15">
        <v>3177.6</v>
      </c>
      <c r="P42" s="15">
        <v>0</v>
      </c>
      <c r="Q42" s="15">
        <v>508.41</v>
      </c>
      <c r="R42" s="15">
        <v>338.93</v>
      </c>
      <c r="S42" s="15">
        <v>317.76</v>
      </c>
      <c r="T42" s="15">
        <v>3029.32</v>
      </c>
      <c r="U42" t="s">
        <v>93</v>
      </c>
    </row>
    <row r="43" spans="1:23">
      <c r="D43" s="6"/>
      <c r="J43" s="6"/>
      <c r="N43" s="8" t="s">
        <v>207</v>
      </c>
      <c r="O43" s="16">
        <f>IFERROR(SUMIF(C6:C42,"Vigente",O6:O42),0)</f>
        <v>1645345.12</v>
      </c>
      <c r="P43" s="16">
        <f>IFERROR(SUMIF(C6:C42,"Vigente",P6:P42),0)</f>
        <v>41.82</v>
      </c>
      <c r="Q43" s="16">
        <f>IFERROR(SUMIF(C6:C42,"Vigente",Q6:Q42),0)</f>
        <v>256516.53000000003</v>
      </c>
      <c r="R43" s="16">
        <f>IFERROR(SUMIF(C6:C42,"Vigente",R6:R42),0)</f>
        <v>12114.95</v>
      </c>
      <c r="S43" s="16">
        <f>IFERROR(SUMIF(C6:C42,"Vigente",S6:S42),0)</f>
        <v>11357.76</v>
      </c>
      <c r="T43" s="16">
        <f>IFERROR(SUMIF(C6:C42,"Vigente",T6:T42),0)</f>
        <v>1878347.12</v>
      </c>
    </row>
    <row r="44" spans="1:23">
      <c r="N44" s="9" t="s">
        <v>208</v>
      </c>
      <c r="O44" s="17">
        <f>IFERROR(SUMIF(C6:C42,"Cancelado",O6:O42),0)</f>
        <v>0</v>
      </c>
      <c r="P44" s="17">
        <f>IFERROR(SUMIF(C6:C42,"Cancelado",P6:P42),0)</f>
        <v>0</v>
      </c>
      <c r="Q44" s="17">
        <f>IFERROR(SUMIF(C6:C42,"Cancelado",Q6:Q42),0)</f>
        <v>0</v>
      </c>
      <c r="R44" s="17">
        <f>IFERROR(SUMIF(C6:C42,"Cancelado",R6:R42),0)</f>
        <v>0</v>
      </c>
      <c r="S44" s="17">
        <f>IFERROR(SUMIF(C6:C42,"Cancelado",S6:S42),0)</f>
        <v>0</v>
      </c>
      <c r="T44" s="17">
        <f>IFERROR(SUMIF(C6:C42,"Cancelado",T6:T42),0)</f>
        <v>0</v>
      </c>
    </row>
    <row r="45" spans="1:23">
      <c r="N45" s="10" t="s">
        <v>209</v>
      </c>
      <c r="O45" s="18">
        <f>IFERROR(SUMIF(C6:C42,"Sin Validar",O6:O42),0)</f>
        <v>0</v>
      </c>
      <c r="P45" s="18">
        <f>IFERROR(SUMIF(C6:C42,"Sin Validar",P6:P42),0)</f>
        <v>0</v>
      </c>
      <c r="Q45" s="18">
        <f>IFERROR(SUMIF(C6:C42,"Sin Validar",Q6:Q42),0)</f>
        <v>0</v>
      </c>
      <c r="R45" s="18">
        <f>IFERROR(SUMIF(C6:C42,"Sin Validar",R6:R42),0)</f>
        <v>0</v>
      </c>
      <c r="S45" s="18">
        <f>IFERROR(SUMIF(C6:C42,"Sin Validar",S6:S42),0)</f>
        <v>0</v>
      </c>
      <c r="T45" s="18">
        <f>IFERROR(SUMIF(C6:C42,"Sin Validar",T6:T42),0)</f>
        <v>0</v>
      </c>
    </row>
  </sheetData>
  <autoFilter ref="A5:U5" xr:uid="{00000000-0009-0000-0000-000000000000}"/>
  <conditionalFormatting sqref="A6:A43">
    <cfRule type="cellIs" dxfId="30" priority="2" operator="equal">
      <formula>"Inválido"</formula>
    </cfRule>
    <cfRule type="cellIs" dxfId="29" priority="3" operator="equal">
      <formula>"Válido"</formula>
    </cfRule>
  </conditionalFormatting>
  <conditionalFormatting sqref="A6:C43">
    <cfRule type="cellIs" dxfId="28" priority="1" operator="equal">
      <formula>"Sin Validar"</formula>
    </cfRule>
  </conditionalFormatting>
  <conditionalFormatting sqref="A6:U42 W6:W41">
    <cfRule type="expression" dxfId="27" priority="10">
      <formula>MOD(ROW(),2)=1</formula>
    </cfRule>
  </conditionalFormatting>
  <conditionalFormatting sqref="B6:B43">
    <cfRule type="cellIs" dxfId="26" priority="5" operator="equal">
      <formula>"No existe"</formula>
    </cfRule>
    <cfRule type="cellIs" dxfId="25" priority="6" operator="equal">
      <formula>"Existe"</formula>
    </cfRule>
  </conditionalFormatting>
  <conditionalFormatting sqref="C6:C43">
    <cfRule type="cellIs" dxfId="24" priority="8" operator="equal">
      <formula>"Cancelado"</formula>
    </cfRule>
    <cfRule type="cellIs" dxfId="23" priority="9" operator="equal">
      <formula>"Vigente"</formula>
    </cfRule>
  </conditionalFormatting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5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40625" defaultRowHeight="15"/>
  <cols>
    <col min="1" max="1" width="5.5703125" bestFit="1" customWidth="1"/>
    <col min="2" max="2" width="5.42578125" bestFit="1" customWidth="1"/>
    <col min="3" max="3" width="6.5703125" bestFit="1" customWidth="1"/>
    <col min="5" max="5" width="3.5703125" bestFit="1" customWidth="1"/>
    <col min="6" max="6" width="6.7109375" bestFit="1" customWidth="1"/>
    <col min="7" max="7" width="33" bestFit="1" customWidth="1"/>
    <col min="8" max="8" width="10.7109375" hidden="1" customWidth="1"/>
    <col min="9" max="9" width="30.85546875" hidden="1" customWidth="1"/>
    <col min="10" max="10" width="10.7109375" hidden="1" customWidth="1"/>
    <col min="11" max="11" width="4.28515625" hidden="1" customWidth="1"/>
    <col min="12" max="12" width="14.5703125" hidden="1" customWidth="1"/>
    <col min="13" max="13" width="30.140625" customWidth="1"/>
    <col min="14" max="14" width="36.85546875" customWidth="1"/>
    <col min="15" max="15" width="13.140625" style="15" bestFit="1" customWidth="1"/>
    <col min="16" max="16" width="11.85546875" style="15" hidden="1" customWidth="1"/>
    <col min="17" max="17" width="11.5703125" style="15" bestFit="1" customWidth="1"/>
    <col min="18" max="18" width="14.140625" style="15" bestFit="1" customWidth="1"/>
    <col min="19" max="19" width="13.7109375" style="15" bestFit="1" customWidth="1"/>
    <col min="20" max="20" width="13.140625" style="15" bestFit="1" customWidth="1"/>
    <col min="21" max="21" width="4.140625" bestFit="1" customWidth="1"/>
    <col min="22" max="22" width="16.5703125" style="20" bestFit="1" customWidth="1"/>
  </cols>
  <sheetData>
    <row r="1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2"/>
      <c r="P1" s="12"/>
      <c r="Q1" s="12"/>
      <c r="R1" s="12"/>
      <c r="S1" s="12"/>
      <c r="T1" s="12"/>
      <c r="U1" s="2"/>
      <c r="V1" s="21"/>
    </row>
    <row r="2" spans="1:2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3"/>
      <c r="P2" s="13"/>
      <c r="Q2" s="13"/>
      <c r="R2" s="13"/>
      <c r="S2" s="13"/>
      <c r="T2" s="13"/>
      <c r="U2" s="4"/>
      <c r="V2" s="21"/>
    </row>
    <row r="3" spans="1:2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/>
      <c r="P3" s="12"/>
      <c r="Q3" s="12"/>
      <c r="R3" s="12"/>
      <c r="S3" s="12"/>
      <c r="T3" s="12"/>
      <c r="U3" s="2"/>
      <c r="V3" s="21"/>
    </row>
    <row r="4" spans="1:2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3"/>
      <c r="P4" s="13"/>
      <c r="Q4" s="13"/>
      <c r="R4" s="13"/>
      <c r="S4" s="13"/>
      <c r="T4" s="13"/>
      <c r="U4" s="4"/>
      <c r="V4" s="21"/>
    </row>
    <row r="5" spans="1:23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1" t="s">
        <v>24</v>
      </c>
      <c r="V5" s="21"/>
      <c r="W5" s="14" t="s">
        <v>277</v>
      </c>
    </row>
    <row r="6" spans="1:23">
      <c r="A6" t="s">
        <v>25</v>
      </c>
      <c r="B6" t="s">
        <v>26</v>
      </c>
      <c r="C6" t="s">
        <v>27</v>
      </c>
      <c r="D6" s="6"/>
      <c r="E6" t="s">
        <v>28</v>
      </c>
      <c r="F6" t="s">
        <v>29</v>
      </c>
      <c r="G6" t="s">
        <v>30</v>
      </c>
      <c r="H6" t="s">
        <v>31</v>
      </c>
      <c r="I6" t="s">
        <v>32</v>
      </c>
      <c r="J6" s="6">
        <v>46203</v>
      </c>
      <c r="K6" t="s">
        <v>33</v>
      </c>
      <c r="L6" t="s">
        <v>34</v>
      </c>
      <c r="M6" t="s">
        <v>35</v>
      </c>
      <c r="N6" t="s">
        <v>36</v>
      </c>
      <c r="O6" s="15">
        <v>431.03</v>
      </c>
      <c r="P6" s="15">
        <v>0</v>
      </c>
      <c r="Q6" s="15">
        <v>68.97</v>
      </c>
      <c r="R6" s="15">
        <v>0</v>
      </c>
      <c r="S6" s="15">
        <v>0</v>
      </c>
      <c r="T6" s="15">
        <v>500</v>
      </c>
      <c r="U6" t="s">
        <v>37</v>
      </c>
      <c r="V6" s="22" t="s">
        <v>211</v>
      </c>
    </row>
    <row r="7" spans="1:23">
      <c r="A7" t="s">
        <v>25</v>
      </c>
      <c r="B7" t="s">
        <v>26</v>
      </c>
      <c r="C7" t="s">
        <v>27</v>
      </c>
      <c r="D7" s="6"/>
      <c r="E7" t="s">
        <v>28</v>
      </c>
      <c r="F7" t="s">
        <v>29</v>
      </c>
      <c r="G7" t="s">
        <v>38</v>
      </c>
      <c r="H7" t="s">
        <v>39</v>
      </c>
      <c r="I7" t="s">
        <v>40</v>
      </c>
      <c r="J7" s="6">
        <v>46203</v>
      </c>
      <c r="K7" t="s">
        <v>33</v>
      </c>
      <c r="L7" t="s">
        <v>41</v>
      </c>
      <c r="M7" t="s">
        <v>42</v>
      </c>
      <c r="N7" t="s">
        <v>43</v>
      </c>
      <c r="O7" s="15">
        <v>257.76</v>
      </c>
      <c r="P7" s="15">
        <v>0</v>
      </c>
      <c r="Q7" s="15">
        <v>41.24</v>
      </c>
      <c r="R7" s="15">
        <v>0</v>
      </c>
      <c r="S7" s="15">
        <v>0</v>
      </c>
      <c r="T7" s="15">
        <v>299</v>
      </c>
      <c r="U7" t="s">
        <v>37</v>
      </c>
      <c r="V7" s="22" t="s">
        <v>211</v>
      </c>
    </row>
    <row r="8" spans="1:23">
      <c r="A8" t="s">
        <v>25</v>
      </c>
      <c r="B8" t="s">
        <v>26</v>
      </c>
      <c r="C8" t="s">
        <v>27</v>
      </c>
      <c r="D8" s="6"/>
      <c r="E8" t="s">
        <v>28</v>
      </c>
      <c r="F8" t="s">
        <v>29</v>
      </c>
      <c r="G8" t="s">
        <v>44</v>
      </c>
      <c r="H8" t="s">
        <v>45</v>
      </c>
      <c r="I8" t="s">
        <v>46</v>
      </c>
      <c r="J8" s="6">
        <v>46203</v>
      </c>
      <c r="K8" t="s">
        <v>33</v>
      </c>
      <c r="L8" t="s">
        <v>47</v>
      </c>
      <c r="M8" t="s">
        <v>48</v>
      </c>
      <c r="N8" t="s">
        <v>49</v>
      </c>
      <c r="O8" s="15">
        <v>335.36</v>
      </c>
      <c r="P8" s="15">
        <v>0</v>
      </c>
      <c r="Q8" s="15">
        <v>53.66</v>
      </c>
      <c r="R8" s="15">
        <v>0</v>
      </c>
      <c r="S8" s="15">
        <v>0</v>
      </c>
      <c r="T8" s="15">
        <v>389.02</v>
      </c>
      <c r="U8" t="s">
        <v>37</v>
      </c>
      <c r="V8" s="22" t="s">
        <v>211</v>
      </c>
    </row>
    <row r="9" spans="1:23">
      <c r="A9" t="s">
        <v>25</v>
      </c>
      <c r="B9" t="s">
        <v>26</v>
      </c>
      <c r="C9" t="s">
        <v>27</v>
      </c>
      <c r="D9" s="6"/>
      <c r="E9" t="s">
        <v>28</v>
      </c>
      <c r="F9" t="s">
        <v>29</v>
      </c>
      <c r="G9" t="s">
        <v>50</v>
      </c>
      <c r="H9" t="s">
        <v>45</v>
      </c>
      <c r="I9" t="s">
        <v>51</v>
      </c>
      <c r="J9" s="6">
        <v>46203</v>
      </c>
      <c r="K9" t="s">
        <v>33</v>
      </c>
      <c r="L9" t="s">
        <v>52</v>
      </c>
      <c r="M9" t="s">
        <v>53</v>
      </c>
      <c r="N9" t="s">
        <v>54</v>
      </c>
      <c r="O9" s="15">
        <v>18400</v>
      </c>
      <c r="P9" s="15">
        <v>0</v>
      </c>
      <c r="Q9" s="15">
        <v>2944</v>
      </c>
      <c r="R9" s="15">
        <v>1962.67</v>
      </c>
      <c r="S9" s="15">
        <v>1840</v>
      </c>
      <c r="T9" s="15">
        <v>17541.330000000002</v>
      </c>
      <c r="U9" t="s">
        <v>37</v>
      </c>
      <c r="V9" s="21" t="s">
        <v>210</v>
      </c>
      <c r="W9" s="15">
        <v>1</v>
      </c>
    </row>
    <row r="10" spans="1:23">
      <c r="A10" t="s">
        <v>25</v>
      </c>
      <c r="B10" t="s">
        <v>26</v>
      </c>
      <c r="C10" t="s">
        <v>27</v>
      </c>
      <c r="D10" s="6"/>
      <c r="E10" t="s">
        <v>28</v>
      </c>
      <c r="F10" t="s">
        <v>29</v>
      </c>
      <c r="G10" t="s">
        <v>55</v>
      </c>
      <c r="H10" t="s">
        <v>56</v>
      </c>
      <c r="I10" t="s">
        <v>57</v>
      </c>
      <c r="J10" s="6">
        <v>46203</v>
      </c>
      <c r="K10" t="s">
        <v>33</v>
      </c>
      <c r="L10" t="s">
        <v>58</v>
      </c>
      <c r="M10" t="s">
        <v>59</v>
      </c>
      <c r="N10" t="s">
        <v>60</v>
      </c>
      <c r="O10" s="15">
        <v>3258.62</v>
      </c>
      <c r="P10" s="15">
        <v>0</v>
      </c>
      <c r="Q10" s="15">
        <v>521.38</v>
      </c>
      <c r="R10" s="15">
        <v>0</v>
      </c>
      <c r="S10" s="15">
        <v>0</v>
      </c>
      <c r="T10" s="15">
        <v>3780</v>
      </c>
      <c r="U10" t="s">
        <v>37</v>
      </c>
      <c r="V10" s="22" t="s">
        <v>211</v>
      </c>
      <c r="W10" s="15">
        <v>2</v>
      </c>
    </row>
    <row r="11" spans="1:23">
      <c r="A11" t="s">
        <v>25</v>
      </c>
      <c r="B11" t="s">
        <v>26</v>
      </c>
      <c r="C11" t="s">
        <v>27</v>
      </c>
      <c r="D11" s="6"/>
      <c r="E11" t="s">
        <v>28</v>
      </c>
      <c r="F11" t="s">
        <v>29</v>
      </c>
      <c r="G11" t="s">
        <v>61</v>
      </c>
      <c r="H11" t="s">
        <v>45</v>
      </c>
      <c r="I11" t="s">
        <v>62</v>
      </c>
      <c r="J11" s="6">
        <v>46203</v>
      </c>
      <c r="K11" t="s">
        <v>33</v>
      </c>
      <c r="L11" t="s">
        <v>52</v>
      </c>
      <c r="M11" t="s">
        <v>53</v>
      </c>
      <c r="N11" t="s">
        <v>63</v>
      </c>
      <c r="O11" s="15">
        <v>18400</v>
      </c>
      <c r="P11" s="15">
        <v>0</v>
      </c>
      <c r="Q11" s="15">
        <v>2944</v>
      </c>
      <c r="R11" s="15">
        <v>1962.67</v>
      </c>
      <c r="S11" s="15">
        <v>1840</v>
      </c>
      <c r="T11" s="15">
        <v>17541.330000000002</v>
      </c>
      <c r="U11" t="s">
        <v>37</v>
      </c>
      <c r="V11" s="21" t="s">
        <v>210</v>
      </c>
      <c r="W11" s="15">
        <v>3</v>
      </c>
    </row>
    <row r="12" spans="1:23">
      <c r="A12" t="s">
        <v>25</v>
      </c>
      <c r="B12" t="s">
        <v>26</v>
      </c>
      <c r="C12" t="s">
        <v>27</v>
      </c>
      <c r="D12" s="6"/>
      <c r="E12" t="s">
        <v>28</v>
      </c>
      <c r="F12" t="s">
        <v>29</v>
      </c>
      <c r="G12" t="s">
        <v>64</v>
      </c>
      <c r="H12" t="s">
        <v>45</v>
      </c>
      <c r="I12" t="s">
        <v>65</v>
      </c>
      <c r="J12" s="6">
        <v>46203</v>
      </c>
      <c r="K12" t="s">
        <v>33</v>
      </c>
      <c r="L12" t="s">
        <v>52</v>
      </c>
      <c r="M12" t="s">
        <v>53</v>
      </c>
      <c r="N12" t="s">
        <v>66</v>
      </c>
      <c r="O12" s="15">
        <v>18400</v>
      </c>
      <c r="P12" s="15">
        <v>0</v>
      </c>
      <c r="Q12" s="15">
        <v>2944</v>
      </c>
      <c r="R12" s="15">
        <v>1962.67</v>
      </c>
      <c r="S12" s="15">
        <v>1840</v>
      </c>
      <c r="T12" s="15">
        <v>17541.330000000002</v>
      </c>
      <c r="U12" t="s">
        <v>37</v>
      </c>
      <c r="V12" s="21" t="s">
        <v>210</v>
      </c>
      <c r="W12" s="15">
        <v>4</v>
      </c>
    </row>
    <row r="13" spans="1:23">
      <c r="A13" t="s">
        <v>25</v>
      </c>
      <c r="B13" t="s">
        <v>26</v>
      </c>
      <c r="C13" t="s">
        <v>27</v>
      </c>
      <c r="D13" s="6"/>
      <c r="E13" t="s">
        <v>28</v>
      </c>
      <c r="F13" t="s">
        <v>29</v>
      </c>
      <c r="G13" t="s">
        <v>67</v>
      </c>
      <c r="H13" t="s">
        <v>45</v>
      </c>
      <c r="I13" t="s">
        <v>68</v>
      </c>
      <c r="J13" s="6">
        <v>46203</v>
      </c>
      <c r="K13" t="s">
        <v>33</v>
      </c>
      <c r="L13" t="s">
        <v>52</v>
      </c>
      <c r="M13" t="s">
        <v>53</v>
      </c>
      <c r="N13" t="s">
        <v>69</v>
      </c>
      <c r="O13" s="15">
        <v>18400</v>
      </c>
      <c r="P13" s="15">
        <v>0</v>
      </c>
      <c r="Q13" s="15">
        <v>2944</v>
      </c>
      <c r="R13" s="15">
        <v>1962.67</v>
      </c>
      <c r="S13" s="15">
        <v>1840</v>
      </c>
      <c r="T13" s="15">
        <v>17541.330000000002</v>
      </c>
      <c r="U13" t="s">
        <v>37</v>
      </c>
      <c r="V13" s="21" t="s">
        <v>210</v>
      </c>
      <c r="W13" s="15">
        <v>5</v>
      </c>
    </row>
    <row r="14" spans="1:23">
      <c r="A14" t="s">
        <v>25</v>
      </c>
      <c r="B14" t="s">
        <v>26</v>
      </c>
      <c r="C14" t="s">
        <v>27</v>
      </c>
      <c r="D14" s="6"/>
      <c r="E14" t="s">
        <v>28</v>
      </c>
      <c r="F14" t="s">
        <v>29</v>
      </c>
      <c r="G14" t="s">
        <v>70</v>
      </c>
      <c r="H14" t="s">
        <v>45</v>
      </c>
      <c r="I14" t="s">
        <v>71</v>
      </c>
      <c r="J14" s="6">
        <v>46203</v>
      </c>
      <c r="K14" t="s">
        <v>33</v>
      </c>
      <c r="L14" t="s">
        <v>52</v>
      </c>
      <c r="M14" t="s">
        <v>53</v>
      </c>
      <c r="N14" t="s">
        <v>72</v>
      </c>
      <c r="O14" s="15">
        <v>18400</v>
      </c>
      <c r="P14" s="15">
        <v>0</v>
      </c>
      <c r="Q14" s="15">
        <v>2944</v>
      </c>
      <c r="R14" s="15">
        <v>1962.67</v>
      </c>
      <c r="S14" s="15">
        <v>1840</v>
      </c>
      <c r="T14" s="15">
        <v>17541.330000000002</v>
      </c>
      <c r="U14" t="s">
        <v>37</v>
      </c>
      <c r="V14" s="21" t="s">
        <v>210</v>
      </c>
      <c r="W14" s="15">
        <v>6</v>
      </c>
    </row>
    <row r="15" spans="1:23">
      <c r="A15" t="s">
        <v>25</v>
      </c>
      <c r="B15" t="s">
        <v>26</v>
      </c>
      <c r="C15" t="s">
        <v>27</v>
      </c>
      <c r="D15" s="6"/>
      <c r="E15" t="s">
        <v>28</v>
      </c>
      <c r="F15" t="s">
        <v>29</v>
      </c>
      <c r="G15" t="s">
        <v>73</v>
      </c>
      <c r="H15" t="s">
        <v>45</v>
      </c>
      <c r="I15" t="s">
        <v>74</v>
      </c>
      <c r="J15" s="6">
        <v>46203</v>
      </c>
      <c r="K15" t="s">
        <v>33</v>
      </c>
      <c r="L15" t="s">
        <v>52</v>
      </c>
      <c r="M15" t="s">
        <v>53</v>
      </c>
      <c r="N15" t="s">
        <v>75</v>
      </c>
      <c r="O15" s="15">
        <v>18400</v>
      </c>
      <c r="P15" s="15">
        <v>0</v>
      </c>
      <c r="Q15" s="15">
        <v>2944</v>
      </c>
      <c r="R15" s="15">
        <v>1962.67</v>
      </c>
      <c r="S15" s="15">
        <v>1840</v>
      </c>
      <c r="T15" s="15">
        <v>17541.330000000002</v>
      </c>
      <c r="U15" t="s">
        <v>37</v>
      </c>
      <c r="V15" s="21" t="s">
        <v>210</v>
      </c>
      <c r="W15" s="15">
        <v>7</v>
      </c>
    </row>
    <row r="16" spans="1:23">
      <c r="A16" t="s">
        <v>25</v>
      </c>
      <c r="B16" t="s">
        <v>26</v>
      </c>
      <c r="C16" t="s">
        <v>27</v>
      </c>
      <c r="D16" s="6"/>
      <c r="E16" t="s">
        <v>28</v>
      </c>
      <c r="F16" t="s">
        <v>29</v>
      </c>
      <c r="G16" t="s">
        <v>76</v>
      </c>
      <c r="I16" t="s">
        <v>77</v>
      </c>
      <c r="J16" s="6">
        <v>46203</v>
      </c>
      <c r="K16" t="s">
        <v>33</v>
      </c>
      <c r="L16" t="s">
        <v>78</v>
      </c>
      <c r="M16" t="s">
        <v>79</v>
      </c>
      <c r="N16" t="s">
        <v>80</v>
      </c>
      <c r="O16" s="15">
        <v>842.24</v>
      </c>
      <c r="P16" s="15">
        <v>0</v>
      </c>
      <c r="Q16" s="15">
        <v>134.76</v>
      </c>
      <c r="R16" s="15">
        <v>0</v>
      </c>
      <c r="S16" s="15">
        <v>0</v>
      </c>
      <c r="T16" s="15">
        <v>977</v>
      </c>
      <c r="U16" t="s">
        <v>37</v>
      </c>
      <c r="V16" s="22" t="s">
        <v>211</v>
      </c>
      <c r="W16" s="15">
        <v>8</v>
      </c>
    </row>
    <row r="17" spans="1:23">
      <c r="A17" t="s">
        <v>25</v>
      </c>
      <c r="B17" t="s">
        <v>26</v>
      </c>
      <c r="C17" t="s">
        <v>27</v>
      </c>
      <c r="D17" s="6"/>
      <c r="E17" t="s">
        <v>28</v>
      </c>
      <c r="F17" t="s">
        <v>29</v>
      </c>
      <c r="G17" t="s">
        <v>81</v>
      </c>
      <c r="H17" t="s">
        <v>82</v>
      </c>
      <c r="I17" t="s">
        <v>83</v>
      </c>
      <c r="J17" s="6">
        <v>46203</v>
      </c>
      <c r="K17" t="s">
        <v>33</v>
      </c>
      <c r="L17" t="s">
        <v>84</v>
      </c>
      <c r="M17" t="s">
        <v>85</v>
      </c>
      <c r="N17" t="s">
        <v>86</v>
      </c>
      <c r="O17" s="15">
        <v>748.66</v>
      </c>
      <c r="P17" s="15">
        <v>15.96</v>
      </c>
      <c r="Q17" s="15">
        <v>0</v>
      </c>
      <c r="R17" s="15">
        <v>0</v>
      </c>
      <c r="S17" s="15">
        <v>0</v>
      </c>
      <c r="T17" s="15">
        <v>732.7</v>
      </c>
      <c r="U17" t="s">
        <v>37</v>
      </c>
      <c r="V17" s="22" t="s">
        <v>211</v>
      </c>
      <c r="W17" s="15">
        <v>9</v>
      </c>
    </row>
    <row r="18" spans="1:23">
      <c r="A18" t="s">
        <v>25</v>
      </c>
      <c r="B18" t="s">
        <v>26</v>
      </c>
      <c r="C18" t="s">
        <v>27</v>
      </c>
      <c r="D18" s="6"/>
      <c r="E18" t="s">
        <v>28</v>
      </c>
      <c r="F18" t="s">
        <v>29</v>
      </c>
      <c r="G18" t="s">
        <v>87</v>
      </c>
      <c r="H18" t="s">
        <v>88</v>
      </c>
      <c r="I18" t="s">
        <v>89</v>
      </c>
      <c r="J18" s="6">
        <v>46202</v>
      </c>
      <c r="K18" t="s">
        <v>33</v>
      </c>
      <c r="L18" t="s">
        <v>90</v>
      </c>
      <c r="M18" t="s">
        <v>91</v>
      </c>
      <c r="N18" t="s">
        <v>92</v>
      </c>
      <c r="O18" s="15">
        <v>8690</v>
      </c>
      <c r="P18" s="15">
        <v>0</v>
      </c>
      <c r="Q18" s="15">
        <v>1390.4</v>
      </c>
      <c r="R18" s="15">
        <v>0</v>
      </c>
      <c r="S18" s="15">
        <v>0</v>
      </c>
      <c r="T18" s="15">
        <v>10080.4</v>
      </c>
      <c r="U18" t="s">
        <v>93</v>
      </c>
      <c r="V18" s="21" t="s">
        <v>266</v>
      </c>
      <c r="W18" s="15">
        <v>10</v>
      </c>
    </row>
    <row r="19" spans="1:23">
      <c r="A19" t="s">
        <v>25</v>
      </c>
      <c r="B19" t="s">
        <v>26</v>
      </c>
      <c r="C19" t="s">
        <v>27</v>
      </c>
      <c r="D19" s="6"/>
      <c r="E19" t="s">
        <v>28</v>
      </c>
      <c r="F19" t="s">
        <v>29</v>
      </c>
      <c r="G19" t="s">
        <v>94</v>
      </c>
      <c r="H19" t="s">
        <v>95</v>
      </c>
      <c r="I19" t="s">
        <v>96</v>
      </c>
      <c r="J19" s="6">
        <v>46200</v>
      </c>
      <c r="K19" t="s">
        <v>33</v>
      </c>
      <c r="L19" t="s">
        <v>97</v>
      </c>
      <c r="M19" t="s">
        <v>98</v>
      </c>
      <c r="N19" t="s">
        <v>99</v>
      </c>
      <c r="O19" s="15">
        <v>807.06</v>
      </c>
      <c r="P19" s="15">
        <v>0</v>
      </c>
      <c r="Q19" s="15">
        <v>125.34</v>
      </c>
      <c r="R19" s="15">
        <v>0</v>
      </c>
      <c r="S19" s="15">
        <v>0</v>
      </c>
      <c r="T19" s="15">
        <v>932.4</v>
      </c>
      <c r="U19" t="s">
        <v>37</v>
      </c>
      <c r="V19" s="22" t="s">
        <v>211</v>
      </c>
      <c r="W19" s="15">
        <v>11</v>
      </c>
    </row>
    <row r="20" spans="1:23">
      <c r="A20" t="s">
        <v>25</v>
      </c>
      <c r="B20" t="s">
        <v>26</v>
      </c>
      <c r="C20" t="s">
        <v>27</v>
      </c>
      <c r="D20" s="6"/>
      <c r="E20" t="s">
        <v>28</v>
      </c>
      <c r="F20" t="s">
        <v>29</v>
      </c>
      <c r="G20" t="s">
        <v>100</v>
      </c>
      <c r="H20" t="s">
        <v>101</v>
      </c>
      <c r="I20" t="s">
        <v>102</v>
      </c>
      <c r="J20" s="6">
        <v>46199</v>
      </c>
      <c r="K20" t="s">
        <v>33</v>
      </c>
      <c r="L20" t="s">
        <v>103</v>
      </c>
      <c r="M20" t="s">
        <v>104</v>
      </c>
      <c r="N20" t="s">
        <v>105</v>
      </c>
      <c r="O20" s="15">
        <v>521.54999999999995</v>
      </c>
      <c r="P20" s="15">
        <v>25.86</v>
      </c>
      <c r="Q20" s="15">
        <v>79.31</v>
      </c>
      <c r="R20" s="15">
        <v>0</v>
      </c>
      <c r="S20" s="15">
        <v>0</v>
      </c>
      <c r="T20" s="15">
        <v>575</v>
      </c>
      <c r="U20" t="s">
        <v>37</v>
      </c>
      <c r="V20" s="22" t="s">
        <v>264</v>
      </c>
      <c r="W20" s="15">
        <v>12</v>
      </c>
    </row>
    <row r="21" spans="1:23">
      <c r="A21" t="s">
        <v>25</v>
      </c>
      <c r="B21" t="s">
        <v>26</v>
      </c>
      <c r="C21" t="s">
        <v>27</v>
      </c>
      <c r="D21" s="6"/>
      <c r="E21" t="s">
        <v>28</v>
      </c>
      <c r="F21" t="s">
        <v>29</v>
      </c>
      <c r="G21" t="s">
        <v>106</v>
      </c>
      <c r="H21" t="s">
        <v>101</v>
      </c>
      <c r="I21" t="s">
        <v>107</v>
      </c>
      <c r="J21" s="6">
        <v>46199</v>
      </c>
      <c r="K21" t="s">
        <v>33</v>
      </c>
      <c r="L21" t="s">
        <v>103</v>
      </c>
      <c r="M21" t="s">
        <v>104</v>
      </c>
      <c r="N21" t="s">
        <v>108</v>
      </c>
      <c r="O21" s="15">
        <v>521.54999999999995</v>
      </c>
      <c r="P21" s="15">
        <v>0</v>
      </c>
      <c r="Q21" s="15">
        <v>83.45</v>
      </c>
      <c r="R21" s="15">
        <v>0</v>
      </c>
      <c r="S21" s="15">
        <v>0</v>
      </c>
      <c r="T21" s="15">
        <v>605</v>
      </c>
      <c r="U21" t="s">
        <v>37</v>
      </c>
      <c r="V21" s="22" t="s">
        <v>264</v>
      </c>
      <c r="W21" s="15">
        <v>13</v>
      </c>
    </row>
    <row r="22" spans="1:23">
      <c r="A22" t="s">
        <v>25</v>
      </c>
      <c r="B22" t="s">
        <v>26</v>
      </c>
      <c r="C22" t="s">
        <v>27</v>
      </c>
      <c r="D22" s="6"/>
      <c r="E22" t="s">
        <v>28</v>
      </c>
      <c r="F22" t="s">
        <v>29</v>
      </c>
      <c r="G22" t="s">
        <v>109</v>
      </c>
      <c r="H22" t="s">
        <v>88</v>
      </c>
      <c r="I22" t="s">
        <v>110</v>
      </c>
      <c r="J22" s="6">
        <v>46198</v>
      </c>
      <c r="K22" t="s">
        <v>33</v>
      </c>
      <c r="L22" t="s">
        <v>111</v>
      </c>
      <c r="M22" t="s">
        <v>112</v>
      </c>
      <c r="N22" t="s">
        <v>113</v>
      </c>
      <c r="O22" s="15">
        <v>59460</v>
      </c>
      <c r="P22" s="15">
        <v>0</v>
      </c>
      <c r="Q22" s="15">
        <v>9513.6</v>
      </c>
      <c r="R22" s="15">
        <v>0</v>
      </c>
      <c r="S22" s="15">
        <v>0</v>
      </c>
      <c r="T22" s="15">
        <v>68973.600000000006</v>
      </c>
      <c r="U22" t="s">
        <v>93</v>
      </c>
      <c r="V22" s="21" t="s">
        <v>210</v>
      </c>
      <c r="W22" s="15">
        <v>14</v>
      </c>
    </row>
    <row r="23" spans="1:23">
      <c r="A23" t="s">
        <v>25</v>
      </c>
      <c r="B23" t="s">
        <v>26</v>
      </c>
      <c r="C23" t="s">
        <v>27</v>
      </c>
      <c r="D23" s="6"/>
      <c r="E23" t="s">
        <v>28</v>
      </c>
      <c r="F23" t="s">
        <v>29</v>
      </c>
      <c r="G23" t="s">
        <v>114</v>
      </c>
      <c r="H23" t="s">
        <v>88</v>
      </c>
      <c r="I23" t="s">
        <v>115</v>
      </c>
      <c r="J23" s="6">
        <v>46198</v>
      </c>
      <c r="K23" t="s">
        <v>33</v>
      </c>
      <c r="L23" t="s">
        <v>111</v>
      </c>
      <c r="M23" t="s">
        <v>112</v>
      </c>
      <c r="N23" t="s">
        <v>116</v>
      </c>
      <c r="O23" s="15">
        <v>131955</v>
      </c>
      <c r="P23" s="15">
        <v>0</v>
      </c>
      <c r="Q23" s="15">
        <v>21112.799999999999</v>
      </c>
      <c r="R23" s="15">
        <v>0</v>
      </c>
      <c r="S23" s="15">
        <v>0</v>
      </c>
      <c r="T23" s="15">
        <v>153067.79999999999</v>
      </c>
      <c r="U23" t="s">
        <v>93</v>
      </c>
      <c r="V23" s="21" t="s">
        <v>210</v>
      </c>
      <c r="W23" s="15">
        <v>15</v>
      </c>
    </row>
    <row r="24" spans="1:23">
      <c r="A24" t="s">
        <v>25</v>
      </c>
      <c r="B24" t="s">
        <v>26</v>
      </c>
      <c r="C24" t="s">
        <v>27</v>
      </c>
      <c r="D24" s="6"/>
      <c r="E24" t="s">
        <v>28</v>
      </c>
      <c r="F24" t="s">
        <v>29</v>
      </c>
      <c r="G24" t="s">
        <v>117</v>
      </c>
      <c r="H24" t="s">
        <v>45</v>
      </c>
      <c r="I24" t="s">
        <v>118</v>
      </c>
      <c r="J24" s="6">
        <v>46197</v>
      </c>
      <c r="K24" t="s">
        <v>33</v>
      </c>
      <c r="L24" t="s">
        <v>119</v>
      </c>
      <c r="M24" t="s">
        <v>120</v>
      </c>
      <c r="N24" t="s">
        <v>121</v>
      </c>
      <c r="O24" s="15">
        <v>862.07</v>
      </c>
      <c r="P24" s="15">
        <v>0</v>
      </c>
      <c r="Q24" s="15">
        <v>137.93</v>
      </c>
      <c r="R24" s="15">
        <v>0</v>
      </c>
      <c r="S24" s="15">
        <v>0</v>
      </c>
      <c r="T24" s="15">
        <v>1000</v>
      </c>
      <c r="U24" t="s">
        <v>37</v>
      </c>
      <c r="V24" s="22" t="s">
        <v>211</v>
      </c>
      <c r="W24" s="15">
        <v>16</v>
      </c>
    </row>
    <row r="25" spans="1:23">
      <c r="A25" t="s">
        <v>25</v>
      </c>
      <c r="B25" t="s">
        <v>26</v>
      </c>
      <c r="C25" t="s">
        <v>27</v>
      </c>
      <c r="D25" s="6"/>
      <c r="E25" t="s">
        <v>28</v>
      </c>
      <c r="F25" t="s">
        <v>29</v>
      </c>
      <c r="G25" t="s">
        <v>122</v>
      </c>
      <c r="H25" t="s">
        <v>123</v>
      </c>
      <c r="I25" t="s">
        <v>124</v>
      </c>
      <c r="J25" s="6">
        <v>46196</v>
      </c>
      <c r="K25" t="s">
        <v>33</v>
      </c>
      <c r="L25" t="s">
        <v>125</v>
      </c>
      <c r="M25" t="s">
        <v>126</v>
      </c>
      <c r="N25" t="s">
        <v>127</v>
      </c>
      <c r="O25" s="15">
        <v>112.93</v>
      </c>
      <c r="P25" s="15">
        <v>0</v>
      </c>
      <c r="Q25" s="15">
        <v>18.07</v>
      </c>
      <c r="R25" s="15">
        <v>0</v>
      </c>
      <c r="S25" s="15">
        <v>0</v>
      </c>
      <c r="T25" s="15">
        <v>131</v>
      </c>
      <c r="U25" t="s">
        <v>37</v>
      </c>
      <c r="V25" s="22" t="s">
        <v>211</v>
      </c>
      <c r="W25" s="15">
        <v>17</v>
      </c>
    </row>
    <row r="26" spans="1:23">
      <c r="A26" t="s">
        <v>25</v>
      </c>
      <c r="B26" t="s">
        <v>26</v>
      </c>
      <c r="C26" t="s">
        <v>27</v>
      </c>
      <c r="D26" s="6"/>
      <c r="E26" t="s">
        <v>28</v>
      </c>
      <c r="F26" t="s">
        <v>29</v>
      </c>
      <c r="G26" t="s">
        <v>128</v>
      </c>
      <c r="H26" t="s">
        <v>129</v>
      </c>
      <c r="I26" t="s">
        <v>130</v>
      </c>
      <c r="J26" s="6">
        <v>46196</v>
      </c>
      <c r="K26" t="s">
        <v>33</v>
      </c>
      <c r="L26" t="s">
        <v>131</v>
      </c>
      <c r="M26" t="s">
        <v>132</v>
      </c>
      <c r="N26" t="s">
        <v>133</v>
      </c>
      <c r="O26" s="15">
        <v>215.46</v>
      </c>
      <c r="P26" s="15">
        <v>0</v>
      </c>
      <c r="Q26" s="15">
        <v>34.47</v>
      </c>
      <c r="R26" s="15">
        <v>0</v>
      </c>
      <c r="S26" s="15">
        <v>0</v>
      </c>
      <c r="T26" s="15">
        <v>249.93</v>
      </c>
      <c r="U26" t="s">
        <v>37</v>
      </c>
      <c r="V26" s="27" t="s">
        <v>215</v>
      </c>
      <c r="W26" s="15">
        <v>18</v>
      </c>
    </row>
    <row r="27" spans="1:23">
      <c r="A27" t="s">
        <v>25</v>
      </c>
      <c r="B27" t="s">
        <v>26</v>
      </c>
      <c r="C27" t="s">
        <v>27</v>
      </c>
      <c r="D27" s="6"/>
      <c r="E27" t="s">
        <v>28</v>
      </c>
      <c r="F27" t="s">
        <v>29</v>
      </c>
      <c r="G27" t="s">
        <v>134</v>
      </c>
      <c r="H27" t="s">
        <v>95</v>
      </c>
      <c r="I27" t="s">
        <v>135</v>
      </c>
      <c r="J27" s="6">
        <v>46194</v>
      </c>
      <c r="K27" t="s">
        <v>33</v>
      </c>
      <c r="L27" t="s">
        <v>97</v>
      </c>
      <c r="M27" t="s">
        <v>98</v>
      </c>
      <c r="N27" t="s">
        <v>136</v>
      </c>
      <c r="O27" s="15">
        <v>504.41</v>
      </c>
      <c r="P27" s="15">
        <v>0</v>
      </c>
      <c r="Q27" s="15">
        <v>78.34</v>
      </c>
      <c r="R27" s="15">
        <v>0</v>
      </c>
      <c r="S27" s="15">
        <v>0</v>
      </c>
      <c r="T27" s="15">
        <v>582.75</v>
      </c>
      <c r="U27" t="s">
        <v>37</v>
      </c>
      <c r="V27" s="22" t="s">
        <v>211</v>
      </c>
      <c r="W27" s="15">
        <v>19</v>
      </c>
    </row>
    <row r="28" spans="1:23">
      <c r="A28" t="s">
        <v>25</v>
      </c>
      <c r="B28" t="s">
        <v>26</v>
      </c>
      <c r="C28" t="s">
        <v>27</v>
      </c>
      <c r="D28" s="6"/>
      <c r="E28" t="s">
        <v>28</v>
      </c>
      <c r="F28" t="s">
        <v>29</v>
      </c>
      <c r="G28" t="s">
        <v>137</v>
      </c>
      <c r="H28" t="s">
        <v>45</v>
      </c>
      <c r="I28" t="s">
        <v>138</v>
      </c>
      <c r="J28" s="6">
        <v>46192</v>
      </c>
      <c r="K28" t="s">
        <v>33</v>
      </c>
      <c r="L28" t="s">
        <v>139</v>
      </c>
      <c r="M28" t="s">
        <v>140</v>
      </c>
      <c r="N28" t="s">
        <v>141</v>
      </c>
      <c r="O28" s="15">
        <v>40988.74</v>
      </c>
      <c r="P28" s="15">
        <v>0</v>
      </c>
      <c r="Q28" s="15">
        <v>0</v>
      </c>
      <c r="R28" s="15">
        <v>0</v>
      </c>
      <c r="S28" s="15">
        <v>0</v>
      </c>
      <c r="T28" s="15">
        <v>40988.74</v>
      </c>
      <c r="U28" t="s">
        <v>37</v>
      </c>
      <c r="V28" s="28" t="s">
        <v>222</v>
      </c>
      <c r="W28" s="15">
        <v>20</v>
      </c>
    </row>
    <row r="29" spans="1:23">
      <c r="A29" t="s">
        <v>25</v>
      </c>
      <c r="B29" t="s">
        <v>26</v>
      </c>
      <c r="C29" t="s">
        <v>27</v>
      </c>
      <c r="D29" s="6"/>
      <c r="E29" t="s">
        <v>28</v>
      </c>
      <c r="F29" t="s">
        <v>29</v>
      </c>
      <c r="G29" t="s">
        <v>142</v>
      </c>
      <c r="J29" s="6">
        <v>46191</v>
      </c>
      <c r="K29" t="s">
        <v>33</v>
      </c>
      <c r="L29" t="s">
        <v>143</v>
      </c>
      <c r="M29" t="s">
        <v>144</v>
      </c>
      <c r="N29" t="s">
        <v>145</v>
      </c>
      <c r="O29" s="15">
        <v>250</v>
      </c>
      <c r="P29" s="15">
        <v>0</v>
      </c>
      <c r="Q29" s="15">
        <v>0</v>
      </c>
      <c r="R29" s="15">
        <v>0</v>
      </c>
      <c r="S29" s="15">
        <v>0</v>
      </c>
      <c r="T29" s="15">
        <v>250</v>
      </c>
      <c r="U29" t="s">
        <v>37</v>
      </c>
      <c r="V29" s="22" t="s">
        <v>264</v>
      </c>
      <c r="W29" s="15">
        <v>21</v>
      </c>
    </row>
    <row r="30" spans="1:23">
      <c r="A30" t="s">
        <v>25</v>
      </c>
      <c r="B30" t="s">
        <v>26</v>
      </c>
      <c r="C30" t="s">
        <v>27</v>
      </c>
      <c r="D30" s="6"/>
      <c r="E30" t="s">
        <v>28</v>
      </c>
      <c r="F30" t="s">
        <v>29</v>
      </c>
      <c r="G30" t="s">
        <v>146</v>
      </c>
      <c r="H30" t="s">
        <v>147</v>
      </c>
      <c r="I30" t="s">
        <v>148</v>
      </c>
      <c r="J30" s="6">
        <v>46191</v>
      </c>
      <c r="K30" t="s">
        <v>33</v>
      </c>
      <c r="L30" t="s">
        <v>149</v>
      </c>
      <c r="M30" t="s">
        <v>150</v>
      </c>
      <c r="N30" t="s">
        <v>151</v>
      </c>
      <c r="O30" s="15">
        <v>4309.4799999999996</v>
      </c>
      <c r="P30" s="15">
        <v>0</v>
      </c>
      <c r="Q30" s="15">
        <v>689.52</v>
      </c>
      <c r="R30" s="15">
        <v>0</v>
      </c>
      <c r="S30" s="15">
        <v>0</v>
      </c>
      <c r="T30" s="15">
        <v>4999</v>
      </c>
      <c r="U30" t="s">
        <v>37</v>
      </c>
      <c r="V30" s="22" t="s">
        <v>265</v>
      </c>
      <c r="W30" s="15">
        <v>22</v>
      </c>
    </row>
    <row r="31" spans="1:23">
      <c r="A31" t="s">
        <v>25</v>
      </c>
      <c r="B31" t="s">
        <v>26</v>
      </c>
      <c r="C31" t="s">
        <v>27</v>
      </c>
      <c r="D31" s="6"/>
      <c r="E31" t="s">
        <v>28</v>
      </c>
      <c r="F31" t="s">
        <v>29</v>
      </c>
      <c r="G31" t="s">
        <v>152</v>
      </c>
      <c r="H31" t="s">
        <v>153</v>
      </c>
      <c r="I31" t="s">
        <v>154</v>
      </c>
      <c r="J31" s="6">
        <v>46191</v>
      </c>
      <c r="K31" t="s">
        <v>33</v>
      </c>
      <c r="L31" t="s">
        <v>155</v>
      </c>
      <c r="M31" t="s">
        <v>156</v>
      </c>
      <c r="N31" t="s">
        <v>157</v>
      </c>
      <c r="O31" s="15">
        <v>5893.62</v>
      </c>
      <c r="P31" s="15">
        <v>0</v>
      </c>
      <c r="Q31" s="15">
        <v>942.98</v>
      </c>
      <c r="R31" s="15">
        <v>0</v>
      </c>
      <c r="S31" s="15">
        <v>0</v>
      </c>
      <c r="T31" s="15">
        <v>6836.6</v>
      </c>
      <c r="U31" t="s">
        <v>93</v>
      </c>
      <c r="V31" s="21" t="s">
        <v>210</v>
      </c>
      <c r="W31" s="15">
        <v>23</v>
      </c>
    </row>
    <row r="32" spans="1:23">
      <c r="A32" t="s">
        <v>25</v>
      </c>
      <c r="B32" t="s">
        <v>26</v>
      </c>
      <c r="C32" t="s">
        <v>27</v>
      </c>
      <c r="D32" s="6"/>
      <c r="E32" t="s">
        <v>28</v>
      </c>
      <c r="F32" t="s">
        <v>29</v>
      </c>
      <c r="G32" t="s">
        <v>158</v>
      </c>
      <c r="H32" t="s">
        <v>159</v>
      </c>
      <c r="I32" t="s">
        <v>160</v>
      </c>
      <c r="J32" s="6">
        <v>46189</v>
      </c>
      <c r="K32" t="s">
        <v>33</v>
      </c>
      <c r="L32" t="s">
        <v>161</v>
      </c>
      <c r="M32" t="s">
        <v>162</v>
      </c>
      <c r="N32" t="s">
        <v>163</v>
      </c>
      <c r="O32" s="15">
        <v>881.9</v>
      </c>
      <c r="P32" s="15">
        <v>0</v>
      </c>
      <c r="Q32" s="15">
        <v>141.1</v>
      </c>
      <c r="R32" s="15">
        <v>0</v>
      </c>
      <c r="S32" s="15">
        <v>0</v>
      </c>
      <c r="T32" s="15">
        <v>1023</v>
      </c>
      <c r="U32" t="s">
        <v>37</v>
      </c>
      <c r="V32" s="21" t="s">
        <v>210</v>
      </c>
      <c r="W32" s="15">
        <v>24</v>
      </c>
    </row>
    <row r="33" spans="1:23">
      <c r="A33" t="s">
        <v>25</v>
      </c>
      <c r="B33" t="s">
        <v>26</v>
      </c>
      <c r="C33" t="s">
        <v>27</v>
      </c>
      <c r="D33" s="6"/>
      <c r="E33" t="s">
        <v>28</v>
      </c>
      <c r="F33" t="s">
        <v>29</v>
      </c>
      <c r="G33" t="s">
        <v>164</v>
      </c>
      <c r="H33" t="s">
        <v>165</v>
      </c>
      <c r="I33" t="s">
        <v>166</v>
      </c>
      <c r="J33" s="6">
        <v>46189</v>
      </c>
      <c r="K33" t="s">
        <v>33</v>
      </c>
      <c r="L33" t="s">
        <v>167</v>
      </c>
      <c r="M33" t="s">
        <v>168</v>
      </c>
      <c r="N33" t="s">
        <v>169</v>
      </c>
      <c r="O33" s="15">
        <v>913.8</v>
      </c>
      <c r="P33" s="15">
        <v>0</v>
      </c>
      <c r="Q33" s="15">
        <v>146.19999999999999</v>
      </c>
      <c r="R33" s="15">
        <v>0</v>
      </c>
      <c r="S33" s="15">
        <v>0</v>
      </c>
      <c r="T33" s="15">
        <v>1060</v>
      </c>
      <c r="U33" t="s">
        <v>37</v>
      </c>
      <c r="V33" s="22" t="s">
        <v>263</v>
      </c>
      <c r="W33" s="15">
        <v>25</v>
      </c>
    </row>
    <row r="34" spans="1:23">
      <c r="A34" t="s">
        <v>25</v>
      </c>
      <c r="B34" t="s">
        <v>26</v>
      </c>
      <c r="C34" t="s">
        <v>27</v>
      </c>
      <c r="D34" s="6"/>
      <c r="E34" t="s">
        <v>28</v>
      </c>
      <c r="F34" t="s">
        <v>29</v>
      </c>
      <c r="G34" t="s">
        <v>170</v>
      </c>
      <c r="H34" t="s">
        <v>95</v>
      </c>
      <c r="I34" t="s">
        <v>171</v>
      </c>
      <c r="J34" s="6">
        <v>46187</v>
      </c>
      <c r="K34" t="s">
        <v>33</v>
      </c>
      <c r="L34" t="s">
        <v>97</v>
      </c>
      <c r="M34" t="s">
        <v>98</v>
      </c>
      <c r="N34" t="s">
        <v>172</v>
      </c>
      <c r="O34" s="15">
        <v>605.29</v>
      </c>
      <c r="P34" s="15">
        <v>0</v>
      </c>
      <c r="Q34" s="15">
        <v>94.01</v>
      </c>
      <c r="R34" s="15">
        <v>0</v>
      </c>
      <c r="S34" s="15">
        <v>0</v>
      </c>
      <c r="T34" s="15">
        <v>699.3</v>
      </c>
      <c r="U34" t="s">
        <v>37</v>
      </c>
      <c r="V34" s="22" t="s">
        <v>211</v>
      </c>
      <c r="W34" s="15">
        <v>26</v>
      </c>
    </row>
    <row r="35" spans="1:23">
      <c r="A35" t="s">
        <v>25</v>
      </c>
      <c r="B35" t="s">
        <v>26</v>
      </c>
      <c r="C35" t="s">
        <v>27</v>
      </c>
      <c r="D35" s="6"/>
      <c r="E35" t="s">
        <v>28</v>
      </c>
      <c r="F35" t="s">
        <v>29</v>
      </c>
      <c r="G35" t="s">
        <v>173</v>
      </c>
      <c r="H35" t="s">
        <v>95</v>
      </c>
      <c r="I35" t="s">
        <v>174</v>
      </c>
      <c r="J35" s="6">
        <v>46185</v>
      </c>
      <c r="K35" t="s">
        <v>33</v>
      </c>
      <c r="L35" t="s">
        <v>97</v>
      </c>
      <c r="M35" t="s">
        <v>98</v>
      </c>
      <c r="N35" t="s">
        <v>175</v>
      </c>
      <c r="O35" s="15">
        <v>1008.82</v>
      </c>
      <c r="P35" s="15">
        <v>0</v>
      </c>
      <c r="Q35" s="15">
        <v>156.68</v>
      </c>
      <c r="R35" s="15">
        <v>0</v>
      </c>
      <c r="S35" s="15">
        <v>0</v>
      </c>
      <c r="T35" s="15">
        <v>1165.5</v>
      </c>
      <c r="U35" t="s">
        <v>37</v>
      </c>
      <c r="V35" s="22" t="s">
        <v>211</v>
      </c>
      <c r="W35" s="15">
        <v>27</v>
      </c>
    </row>
    <row r="36" spans="1:23">
      <c r="A36" t="s">
        <v>25</v>
      </c>
      <c r="B36" t="s">
        <v>26</v>
      </c>
      <c r="C36" t="s">
        <v>27</v>
      </c>
      <c r="D36" s="6"/>
      <c r="E36" t="s">
        <v>28</v>
      </c>
      <c r="F36" t="s">
        <v>29</v>
      </c>
      <c r="G36" t="s">
        <v>176</v>
      </c>
      <c r="H36" t="s">
        <v>123</v>
      </c>
      <c r="I36" t="s">
        <v>177</v>
      </c>
      <c r="J36" s="6">
        <v>46182</v>
      </c>
      <c r="K36" t="s">
        <v>33</v>
      </c>
      <c r="L36" t="s">
        <v>178</v>
      </c>
      <c r="M36" t="s">
        <v>179</v>
      </c>
      <c r="N36" t="s">
        <v>180</v>
      </c>
      <c r="O36" s="15">
        <v>40000</v>
      </c>
      <c r="P36" s="15">
        <v>0</v>
      </c>
      <c r="Q36" s="15">
        <v>6400</v>
      </c>
      <c r="R36" s="15">
        <v>0</v>
      </c>
      <c r="S36" s="15">
        <v>0</v>
      </c>
      <c r="T36" s="15">
        <v>46400</v>
      </c>
      <c r="U36" t="s">
        <v>37</v>
      </c>
      <c r="V36" s="21" t="s">
        <v>210</v>
      </c>
      <c r="W36" s="15">
        <v>28</v>
      </c>
    </row>
    <row r="37" spans="1:23">
      <c r="A37" t="s">
        <v>25</v>
      </c>
      <c r="B37" t="s">
        <v>26</v>
      </c>
      <c r="C37" t="s">
        <v>27</v>
      </c>
      <c r="D37" s="6"/>
      <c r="E37" t="s">
        <v>28</v>
      </c>
      <c r="F37" t="s">
        <v>29</v>
      </c>
      <c r="G37" t="s">
        <v>181</v>
      </c>
      <c r="H37" t="s">
        <v>95</v>
      </c>
      <c r="I37" t="s">
        <v>182</v>
      </c>
      <c r="J37" s="6">
        <v>46180</v>
      </c>
      <c r="K37" t="s">
        <v>33</v>
      </c>
      <c r="L37" t="s">
        <v>97</v>
      </c>
      <c r="M37" t="s">
        <v>98</v>
      </c>
      <c r="N37" t="s">
        <v>183</v>
      </c>
      <c r="O37" s="15">
        <v>605.29</v>
      </c>
      <c r="P37" s="15">
        <v>0</v>
      </c>
      <c r="Q37" s="15">
        <v>94.01</v>
      </c>
      <c r="R37" s="15">
        <v>0</v>
      </c>
      <c r="S37" s="15">
        <v>0</v>
      </c>
      <c r="T37" s="15">
        <v>699.3</v>
      </c>
      <c r="U37" t="s">
        <v>37</v>
      </c>
      <c r="V37" s="22" t="s">
        <v>211</v>
      </c>
      <c r="W37" s="15">
        <v>29</v>
      </c>
    </row>
    <row r="38" spans="1:23">
      <c r="A38" t="s">
        <v>25</v>
      </c>
      <c r="B38" t="s">
        <v>26</v>
      </c>
      <c r="C38" t="s">
        <v>27</v>
      </c>
      <c r="D38" s="6"/>
      <c r="E38" t="s">
        <v>28</v>
      </c>
      <c r="F38" t="s">
        <v>29</v>
      </c>
      <c r="G38" t="s">
        <v>184</v>
      </c>
      <c r="H38" t="s">
        <v>185</v>
      </c>
      <c r="I38" t="s">
        <v>186</v>
      </c>
      <c r="J38" s="6">
        <v>46177</v>
      </c>
      <c r="K38" t="s">
        <v>33</v>
      </c>
      <c r="L38" t="s">
        <v>187</v>
      </c>
      <c r="M38" t="s">
        <v>188</v>
      </c>
      <c r="N38" t="s">
        <v>189</v>
      </c>
      <c r="O38" s="15">
        <v>250</v>
      </c>
      <c r="P38" s="15">
        <v>0</v>
      </c>
      <c r="Q38" s="15">
        <v>40</v>
      </c>
      <c r="R38" s="15">
        <v>0</v>
      </c>
      <c r="S38" s="15">
        <v>0</v>
      </c>
      <c r="T38" s="15">
        <v>290</v>
      </c>
      <c r="U38" t="s">
        <v>37</v>
      </c>
      <c r="V38" s="22" t="s">
        <v>263</v>
      </c>
      <c r="W38" s="15">
        <v>30</v>
      </c>
    </row>
    <row r="39" spans="1:23">
      <c r="A39" t="s">
        <v>25</v>
      </c>
      <c r="B39" t="s">
        <v>26</v>
      </c>
      <c r="C39" t="s">
        <v>27</v>
      </c>
      <c r="D39" s="6"/>
      <c r="E39" t="s">
        <v>28</v>
      </c>
      <c r="F39" t="s">
        <v>29</v>
      </c>
      <c r="G39" t="s">
        <v>190</v>
      </c>
      <c r="H39" t="s">
        <v>123</v>
      </c>
      <c r="I39" t="s">
        <v>191</v>
      </c>
      <c r="J39" s="6">
        <v>46175</v>
      </c>
      <c r="K39" t="s">
        <v>33</v>
      </c>
      <c r="L39" t="s">
        <v>192</v>
      </c>
      <c r="M39" t="s">
        <v>193</v>
      </c>
      <c r="N39" t="s">
        <v>194</v>
      </c>
      <c r="O39" s="15">
        <v>1222370.32</v>
      </c>
      <c r="P39" s="15">
        <v>0</v>
      </c>
      <c r="Q39" s="15">
        <v>195579.25</v>
      </c>
      <c r="R39" s="15">
        <v>0</v>
      </c>
      <c r="S39" s="15">
        <v>0</v>
      </c>
      <c r="T39" s="15">
        <v>1417949.57</v>
      </c>
      <c r="U39" t="s">
        <v>93</v>
      </c>
      <c r="V39" s="21" t="s">
        <v>267</v>
      </c>
      <c r="W39" s="15">
        <v>31</v>
      </c>
    </row>
    <row r="40" spans="1:23">
      <c r="A40" t="s">
        <v>25</v>
      </c>
      <c r="B40" t="s">
        <v>26</v>
      </c>
      <c r="C40" t="s">
        <v>27</v>
      </c>
      <c r="D40" s="6"/>
      <c r="E40" t="s">
        <v>28</v>
      </c>
      <c r="F40" t="s">
        <v>29</v>
      </c>
      <c r="G40" t="s">
        <v>195</v>
      </c>
      <c r="H40" t="s">
        <v>129</v>
      </c>
      <c r="I40" t="s">
        <v>196</v>
      </c>
      <c r="J40" s="6">
        <v>46175</v>
      </c>
      <c r="K40" t="s">
        <v>33</v>
      </c>
      <c r="L40" t="s">
        <v>131</v>
      </c>
      <c r="M40" t="s">
        <v>132</v>
      </c>
      <c r="N40" t="s">
        <v>133</v>
      </c>
      <c r="O40" s="15">
        <v>146.56</v>
      </c>
      <c r="P40" s="15">
        <v>0</v>
      </c>
      <c r="Q40" s="15">
        <v>23.45</v>
      </c>
      <c r="R40" s="15">
        <v>0</v>
      </c>
      <c r="S40" s="15">
        <v>0</v>
      </c>
      <c r="T40" s="15">
        <v>170.01</v>
      </c>
      <c r="U40" t="s">
        <v>37</v>
      </c>
      <c r="V40" s="27" t="s">
        <v>215</v>
      </c>
      <c r="W40" s="15">
        <v>32</v>
      </c>
    </row>
    <row r="41" spans="1:23">
      <c r="A41" t="s">
        <v>25</v>
      </c>
      <c r="B41" t="s">
        <v>26</v>
      </c>
      <c r="C41" t="s">
        <v>27</v>
      </c>
      <c r="D41" s="6"/>
      <c r="E41" t="s">
        <v>28</v>
      </c>
      <c r="F41" t="s">
        <v>29</v>
      </c>
      <c r="G41" t="s">
        <v>197</v>
      </c>
      <c r="H41" t="s">
        <v>45</v>
      </c>
      <c r="I41" t="s">
        <v>198</v>
      </c>
      <c r="J41" s="6">
        <v>46174</v>
      </c>
      <c r="K41" t="s">
        <v>33</v>
      </c>
      <c r="L41" t="s">
        <v>199</v>
      </c>
      <c r="M41" t="s">
        <v>200</v>
      </c>
      <c r="N41" t="s">
        <v>201</v>
      </c>
      <c r="O41" s="15">
        <v>4020</v>
      </c>
      <c r="P41" s="15">
        <v>0</v>
      </c>
      <c r="Q41" s="15">
        <v>643.20000000000005</v>
      </c>
      <c r="R41" s="15">
        <v>0</v>
      </c>
      <c r="S41" s="15">
        <v>0</v>
      </c>
      <c r="T41" s="15">
        <v>4663.2</v>
      </c>
      <c r="U41" t="s">
        <v>37</v>
      </c>
      <c r="V41" s="21" t="s">
        <v>210</v>
      </c>
      <c r="W41" s="15">
        <v>33</v>
      </c>
    </row>
    <row r="42" spans="1:23">
      <c r="A42" t="s">
        <v>25</v>
      </c>
      <c r="B42" t="s">
        <v>26</v>
      </c>
      <c r="C42" t="s">
        <v>27</v>
      </c>
      <c r="D42" s="6"/>
      <c r="E42" t="s">
        <v>28</v>
      </c>
      <c r="F42" t="s">
        <v>29</v>
      </c>
      <c r="G42" t="s">
        <v>202</v>
      </c>
      <c r="I42" t="s">
        <v>203</v>
      </c>
      <c r="J42" s="6">
        <v>46174</v>
      </c>
      <c r="K42" t="s">
        <v>33</v>
      </c>
      <c r="L42" t="s">
        <v>204</v>
      </c>
      <c r="M42" t="s">
        <v>205</v>
      </c>
      <c r="N42" t="s">
        <v>206</v>
      </c>
      <c r="O42" s="15">
        <v>3177.6</v>
      </c>
      <c r="P42" s="15">
        <v>0</v>
      </c>
      <c r="Q42" s="15">
        <v>508.41</v>
      </c>
      <c r="R42" s="15">
        <v>338.93</v>
      </c>
      <c r="S42" s="15">
        <v>317.76</v>
      </c>
      <c r="T42" s="15">
        <v>3029.32</v>
      </c>
      <c r="U42" t="s">
        <v>93</v>
      </c>
      <c r="V42" s="21" t="s">
        <v>210</v>
      </c>
      <c r="W42" s="15">
        <v>34</v>
      </c>
    </row>
    <row r="43" spans="1:23">
      <c r="D43" s="6"/>
      <c r="J43" s="6"/>
      <c r="N43" s="8" t="s">
        <v>207</v>
      </c>
      <c r="O43" s="16">
        <f>IFERROR(SUMIF(C6:C42,"Vigente",O6:O42),0)</f>
        <v>1645345.12</v>
      </c>
      <c r="P43" s="16">
        <f>IFERROR(SUMIF(C6:C42,"Vigente",P6:P42),0)</f>
        <v>41.82</v>
      </c>
      <c r="Q43" s="16">
        <f>IFERROR(SUMIF(C6:C42,"Vigente",Q6:Q42),0)</f>
        <v>256516.53000000003</v>
      </c>
      <c r="R43" s="16">
        <f>IFERROR(SUMIF(C6:C42,"Vigente",R6:R42),0)</f>
        <v>12114.95</v>
      </c>
      <c r="S43" s="16">
        <f>IFERROR(SUMIF(C6:C42,"Vigente",S6:S42),0)</f>
        <v>11357.76</v>
      </c>
      <c r="T43" s="16">
        <f>IFERROR(SUMIF(C6:C42,"Vigente",T6:T42),0)</f>
        <v>1878347.12</v>
      </c>
      <c r="W43" s="15">
        <v>35</v>
      </c>
    </row>
    <row r="44" spans="1:23">
      <c r="N44" s="9" t="s">
        <v>208</v>
      </c>
      <c r="O44" s="17">
        <f>IFERROR(SUMIF(C6:C42,"Cancelado",O6:O42),0)</f>
        <v>0</v>
      </c>
      <c r="P44" s="17">
        <f>IFERROR(SUMIF(C6:C42,"Cancelado",P6:P42),0)</f>
        <v>0</v>
      </c>
      <c r="Q44" s="17">
        <f>IFERROR(SUMIF(C6:C42,"Cancelado",Q6:Q42),0)</f>
        <v>0</v>
      </c>
      <c r="R44" s="17">
        <f>IFERROR(SUMIF(C6:C42,"Cancelado",R6:R42),0)</f>
        <v>0</v>
      </c>
      <c r="S44" s="17">
        <f>IFERROR(SUMIF(C6:C42,"Cancelado",S6:S42),0)</f>
        <v>0</v>
      </c>
      <c r="T44" s="17">
        <f>IFERROR(SUMIF(C6:C42,"Cancelado",T6:T42),0)</f>
        <v>0</v>
      </c>
      <c r="W44" s="15">
        <v>36</v>
      </c>
    </row>
    <row r="45" spans="1:23">
      <c r="N45" s="10" t="s">
        <v>209</v>
      </c>
      <c r="O45" s="18">
        <f>IFERROR(SUMIF(C6:C42,"Sin Validar",O6:O42),0)</f>
        <v>0</v>
      </c>
      <c r="P45" s="18">
        <f>IFERROR(SUMIF(C6:C42,"Sin Validar",P6:P42),0)</f>
        <v>0</v>
      </c>
      <c r="Q45" s="18">
        <f>IFERROR(SUMIF(C6:C42,"Sin Validar",Q6:Q42),0)</f>
        <v>0</v>
      </c>
      <c r="R45" s="18">
        <f>IFERROR(SUMIF(C6:C42,"Sin Validar",R6:R42),0)</f>
        <v>0</v>
      </c>
      <c r="S45" s="18">
        <f>IFERROR(SUMIF(C6:C42,"Sin Validar",S6:S42),0)</f>
        <v>0</v>
      </c>
      <c r="T45" s="18">
        <f>IFERROR(SUMIF(C6:C42,"Sin Validar",T6:T42),0)</f>
        <v>0</v>
      </c>
      <c r="W45" s="15">
        <v>37</v>
      </c>
    </row>
  </sheetData>
  <autoFilter ref="A5:U5" xr:uid="{00000000-0009-0000-0000-000003000000}"/>
  <conditionalFormatting sqref="A6:A43">
    <cfRule type="cellIs" dxfId="22" priority="2" operator="equal">
      <formula>"Inválido"</formula>
    </cfRule>
    <cfRule type="cellIs" dxfId="21" priority="3" operator="equal">
      <formula>"Válido"</formula>
    </cfRule>
  </conditionalFormatting>
  <conditionalFormatting sqref="A6:C43">
    <cfRule type="cellIs" dxfId="20" priority="1" operator="equal">
      <formula>"Sin Validar"</formula>
    </cfRule>
  </conditionalFormatting>
  <conditionalFormatting sqref="A6:U42 W9:W45">
    <cfRule type="expression" dxfId="19" priority="8">
      <formula>MOD(ROW(),2)=1</formula>
    </cfRule>
  </conditionalFormatting>
  <conditionalFormatting sqref="B6:B43">
    <cfRule type="cellIs" dxfId="18" priority="4" operator="equal">
      <formula>"No existe"</formula>
    </cfRule>
    <cfRule type="cellIs" dxfId="17" priority="5" operator="equal">
      <formula>"Existe"</formula>
    </cfRule>
  </conditionalFormatting>
  <conditionalFormatting sqref="C6:C43">
    <cfRule type="cellIs" dxfId="16" priority="6" operator="equal">
      <formula>"Cancelado"</formula>
    </cfRule>
    <cfRule type="cellIs" dxfId="15" priority="7" operator="equal">
      <formula>"Vigente"</formula>
    </cfRule>
  </conditionalFormatting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9"/>
  <sheetViews>
    <sheetView tabSelected="1" topLeftCell="H1" workbookViewId="0">
      <pane ySplit="5" topLeftCell="A9" activePane="bottomLeft" state="frozen"/>
      <selection pane="bottomLeft" activeCell="A9" sqref="A9"/>
    </sheetView>
  </sheetViews>
  <sheetFormatPr baseColWidth="10" defaultColWidth="9.140625" defaultRowHeight="15"/>
  <cols>
    <col min="1" max="1" width="5.5703125" bestFit="1" customWidth="1"/>
    <col min="2" max="2" width="5.42578125" bestFit="1" customWidth="1"/>
    <col min="3" max="3" width="6.5703125" bestFit="1" customWidth="1"/>
    <col min="5" max="5" width="3.5703125" bestFit="1" customWidth="1"/>
    <col min="6" max="6" width="6.7109375" bestFit="1" customWidth="1"/>
    <col min="7" max="7" width="33" bestFit="1" customWidth="1"/>
    <col min="8" max="8" width="10.7109375" customWidth="1"/>
    <col min="9" max="9" width="30.85546875" customWidth="1"/>
    <col min="10" max="10" width="10.7109375" customWidth="1"/>
    <col min="11" max="11" width="4.28515625" customWidth="1"/>
    <col min="12" max="12" width="14.5703125" customWidth="1"/>
    <col min="13" max="13" width="30.140625" customWidth="1"/>
    <col min="14" max="14" width="36.85546875" customWidth="1"/>
    <col min="15" max="15" width="13.140625" style="15" bestFit="1" customWidth="1"/>
    <col min="16" max="16" width="11.85546875" style="15" customWidth="1"/>
    <col min="17" max="17" width="11.5703125" style="15" bestFit="1" customWidth="1"/>
    <col min="18" max="18" width="14.140625" style="15" bestFit="1" customWidth="1"/>
    <col min="19" max="19" width="13.7109375" style="15" bestFit="1" customWidth="1"/>
    <col min="20" max="20" width="13.140625" style="15" bestFit="1" customWidth="1"/>
    <col min="21" max="21" width="4.140625" bestFit="1" customWidth="1"/>
    <col min="22" max="22" width="16.5703125" style="20" bestFit="1" customWidth="1"/>
  </cols>
  <sheetData>
    <row r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2"/>
      <c r="P1" s="12"/>
      <c r="Q1" s="12"/>
      <c r="R1" s="12"/>
      <c r="S1" s="12"/>
      <c r="T1" s="12"/>
      <c r="U1" s="2"/>
      <c r="V1" s="21"/>
    </row>
    <row r="2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3"/>
      <c r="P2" s="13"/>
      <c r="Q2" s="13"/>
      <c r="R2" s="13"/>
      <c r="S2" s="13"/>
      <c r="T2" s="13"/>
      <c r="U2" s="4"/>
      <c r="V2" s="21"/>
    </row>
    <row r="3" spans="1:22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/>
      <c r="P3" s="12"/>
      <c r="Q3" s="12"/>
      <c r="R3" s="12"/>
      <c r="S3" s="12"/>
      <c r="T3" s="12"/>
      <c r="U3" s="2"/>
      <c r="V3" s="21"/>
    </row>
    <row r="4" spans="1:22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3"/>
      <c r="P4" s="13"/>
      <c r="Q4" s="13"/>
      <c r="R4" s="13"/>
      <c r="S4" s="13"/>
      <c r="T4" s="13"/>
      <c r="U4" s="4"/>
      <c r="V4" s="21"/>
    </row>
    <row r="5" spans="1:22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1" t="s">
        <v>24</v>
      </c>
      <c r="V5" s="21"/>
    </row>
    <row r="6" spans="1:22">
      <c r="A6" t="s">
        <v>25</v>
      </c>
      <c r="B6" t="s">
        <v>26</v>
      </c>
      <c r="C6" t="s">
        <v>27</v>
      </c>
      <c r="D6" s="6"/>
      <c r="E6" t="s">
        <v>28</v>
      </c>
      <c r="F6" t="s">
        <v>29</v>
      </c>
      <c r="G6" t="s">
        <v>30</v>
      </c>
      <c r="H6" t="s">
        <v>31</v>
      </c>
      <c r="I6" t="s">
        <v>32</v>
      </c>
      <c r="J6" s="6">
        <v>46203</v>
      </c>
      <c r="K6" t="s">
        <v>33</v>
      </c>
      <c r="L6" t="s">
        <v>34</v>
      </c>
      <c r="M6" t="s">
        <v>35</v>
      </c>
      <c r="N6" t="s">
        <v>36</v>
      </c>
      <c r="O6" s="15">
        <v>431.03</v>
      </c>
      <c r="P6" s="15">
        <v>0</v>
      </c>
      <c r="Q6" s="15">
        <v>68.97</v>
      </c>
      <c r="R6" s="15">
        <v>0</v>
      </c>
      <c r="S6" s="15">
        <v>0</v>
      </c>
      <c r="T6" s="15">
        <v>500</v>
      </c>
      <c r="U6" t="s">
        <v>37</v>
      </c>
      <c r="V6" s="22" t="s">
        <v>211</v>
      </c>
    </row>
    <row r="7" spans="1:22">
      <c r="A7" t="s">
        <v>25</v>
      </c>
      <c r="B7" t="s">
        <v>26</v>
      </c>
      <c r="C7" t="s">
        <v>27</v>
      </c>
      <c r="D7" s="6"/>
      <c r="E7" t="s">
        <v>28</v>
      </c>
      <c r="F7" t="s">
        <v>29</v>
      </c>
      <c r="G7" t="s">
        <v>38</v>
      </c>
      <c r="H7" t="s">
        <v>39</v>
      </c>
      <c r="I7" t="s">
        <v>40</v>
      </c>
      <c r="J7" s="6">
        <v>46203</v>
      </c>
      <c r="K7" t="s">
        <v>33</v>
      </c>
      <c r="L7" t="s">
        <v>41</v>
      </c>
      <c r="M7" t="s">
        <v>42</v>
      </c>
      <c r="N7" t="s">
        <v>43</v>
      </c>
      <c r="O7" s="15">
        <v>257.76</v>
      </c>
      <c r="P7" s="15">
        <v>0</v>
      </c>
      <c r="Q7" s="15">
        <v>41.24</v>
      </c>
      <c r="R7" s="15">
        <v>0</v>
      </c>
      <c r="S7" s="15">
        <v>0</v>
      </c>
      <c r="T7" s="15">
        <v>299</v>
      </c>
      <c r="U7" t="s">
        <v>37</v>
      </c>
      <c r="V7" s="22" t="s">
        <v>211</v>
      </c>
    </row>
    <row r="8" spans="1:22">
      <c r="A8" t="s">
        <v>25</v>
      </c>
      <c r="B8" t="s">
        <v>26</v>
      </c>
      <c r="C8" t="s">
        <v>27</v>
      </c>
      <c r="D8" s="6"/>
      <c r="E8" t="s">
        <v>28</v>
      </c>
      <c r="F8" t="s">
        <v>29</v>
      </c>
      <c r="G8" t="s">
        <v>44</v>
      </c>
      <c r="H8" t="s">
        <v>45</v>
      </c>
      <c r="I8" t="s">
        <v>46</v>
      </c>
      <c r="J8" s="6">
        <v>46203</v>
      </c>
      <c r="K8" t="s">
        <v>33</v>
      </c>
      <c r="L8" t="s">
        <v>47</v>
      </c>
      <c r="M8" t="s">
        <v>48</v>
      </c>
      <c r="N8" t="s">
        <v>49</v>
      </c>
      <c r="O8" s="15">
        <v>335.36</v>
      </c>
      <c r="P8" s="15">
        <v>0</v>
      </c>
      <c r="Q8" s="15">
        <v>53.66</v>
      </c>
      <c r="R8" s="15">
        <v>0</v>
      </c>
      <c r="S8" s="15">
        <v>0</v>
      </c>
      <c r="T8" s="15">
        <v>389.02</v>
      </c>
      <c r="U8" t="s">
        <v>37</v>
      </c>
      <c r="V8" s="22" t="s">
        <v>211</v>
      </c>
    </row>
    <row r="9" spans="1:22">
      <c r="A9" t="s">
        <v>25</v>
      </c>
      <c r="B9" t="s">
        <v>26</v>
      </c>
      <c r="C9" t="s">
        <v>27</v>
      </c>
      <c r="D9" s="6"/>
      <c r="E9" t="s">
        <v>28</v>
      </c>
      <c r="F9" t="s">
        <v>29</v>
      </c>
      <c r="G9" t="s">
        <v>50</v>
      </c>
      <c r="H9" t="s">
        <v>45</v>
      </c>
      <c r="I9" t="s">
        <v>51</v>
      </c>
      <c r="J9" s="6">
        <v>46203</v>
      </c>
      <c r="K9" t="s">
        <v>33</v>
      </c>
      <c r="L9" t="s">
        <v>52</v>
      </c>
      <c r="M9" t="s">
        <v>53</v>
      </c>
      <c r="N9" t="s">
        <v>54</v>
      </c>
      <c r="O9" s="15">
        <v>18400</v>
      </c>
      <c r="P9" s="15">
        <v>0</v>
      </c>
      <c r="Q9" s="15">
        <v>2944</v>
      </c>
      <c r="R9" s="15">
        <v>1962.67</v>
      </c>
      <c r="S9" s="15">
        <v>1840</v>
      </c>
      <c r="T9" s="15">
        <v>17541.330000000002</v>
      </c>
      <c r="U9" t="s">
        <v>37</v>
      </c>
      <c r="V9" s="30" t="s">
        <v>269</v>
      </c>
    </row>
    <row r="10" spans="1:22">
      <c r="A10" t="s">
        <v>25</v>
      </c>
      <c r="B10" t="s">
        <v>26</v>
      </c>
      <c r="C10" t="s">
        <v>27</v>
      </c>
      <c r="D10" s="6"/>
      <c r="E10" t="s">
        <v>28</v>
      </c>
      <c r="F10" t="s">
        <v>29</v>
      </c>
      <c r="G10" t="s">
        <v>55</v>
      </c>
      <c r="H10" t="s">
        <v>56</v>
      </c>
      <c r="I10" t="s">
        <v>57</v>
      </c>
      <c r="J10" s="6">
        <v>46203</v>
      </c>
      <c r="K10" t="s">
        <v>33</v>
      </c>
      <c r="L10" t="s">
        <v>58</v>
      </c>
      <c r="M10" t="s">
        <v>59</v>
      </c>
      <c r="N10" t="s">
        <v>60</v>
      </c>
      <c r="O10" s="15">
        <v>3258.62</v>
      </c>
      <c r="P10" s="15">
        <v>0</v>
      </c>
      <c r="Q10" s="15">
        <v>521.38</v>
      </c>
      <c r="R10" s="15">
        <v>0</v>
      </c>
      <c r="S10" s="15">
        <v>0</v>
      </c>
      <c r="T10" s="15">
        <v>3780</v>
      </c>
      <c r="U10" t="s">
        <v>37</v>
      </c>
      <c r="V10" s="22" t="s">
        <v>211</v>
      </c>
    </row>
    <row r="11" spans="1:22">
      <c r="A11" t="s">
        <v>25</v>
      </c>
      <c r="B11" t="s">
        <v>26</v>
      </c>
      <c r="C11" t="s">
        <v>27</v>
      </c>
      <c r="D11" s="6"/>
      <c r="E11" t="s">
        <v>28</v>
      </c>
      <c r="F11" t="s">
        <v>29</v>
      </c>
      <c r="G11" t="s">
        <v>61</v>
      </c>
      <c r="H11" t="s">
        <v>45</v>
      </c>
      <c r="I11" t="s">
        <v>62</v>
      </c>
      <c r="J11" s="6">
        <v>46203</v>
      </c>
      <c r="K11" t="s">
        <v>33</v>
      </c>
      <c r="L11" t="s">
        <v>52</v>
      </c>
      <c r="M11" t="s">
        <v>53</v>
      </c>
      <c r="N11" t="s">
        <v>63</v>
      </c>
      <c r="O11" s="15">
        <v>18400</v>
      </c>
      <c r="P11" s="15">
        <v>0</v>
      </c>
      <c r="Q11" s="15">
        <v>2944</v>
      </c>
      <c r="R11" s="15">
        <v>1962.67</v>
      </c>
      <c r="S11" s="15">
        <v>1840</v>
      </c>
      <c r="T11" s="15">
        <v>17541.330000000002</v>
      </c>
      <c r="U11" t="s">
        <v>37</v>
      </c>
      <c r="V11" s="30" t="s">
        <v>269</v>
      </c>
    </row>
    <row r="12" spans="1:22">
      <c r="A12" t="s">
        <v>25</v>
      </c>
      <c r="B12" t="s">
        <v>26</v>
      </c>
      <c r="C12" t="s">
        <v>27</v>
      </c>
      <c r="D12" s="6"/>
      <c r="E12" t="s">
        <v>28</v>
      </c>
      <c r="F12" t="s">
        <v>29</v>
      </c>
      <c r="G12" t="s">
        <v>64</v>
      </c>
      <c r="H12" t="s">
        <v>45</v>
      </c>
      <c r="I12" t="s">
        <v>65</v>
      </c>
      <c r="J12" s="6">
        <v>46203</v>
      </c>
      <c r="K12" t="s">
        <v>33</v>
      </c>
      <c r="L12" t="s">
        <v>52</v>
      </c>
      <c r="M12" t="s">
        <v>53</v>
      </c>
      <c r="N12" t="s">
        <v>66</v>
      </c>
      <c r="O12" s="15">
        <v>18400</v>
      </c>
      <c r="P12" s="15">
        <v>0</v>
      </c>
      <c r="Q12" s="15">
        <v>2944</v>
      </c>
      <c r="R12" s="15">
        <v>1962.67</v>
      </c>
      <c r="S12" s="15">
        <v>1840</v>
      </c>
      <c r="T12" s="15">
        <v>17541.330000000002</v>
      </c>
      <c r="U12" t="s">
        <v>37</v>
      </c>
      <c r="V12" s="30" t="s">
        <v>269</v>
      </c>
    </row>
    <row r="13" spans="1:22">
      <c r="A13" t="s">
        <v>25</v>
      </c>
      <c r="B13" t="s">
        <v>26</v>
      </c>
      <c r="C13" t="s">
        <v>27</v>
      </c>
      <c r="D13" s="6"/>
      <c r="E13" t="s">
        <v>28</v>
      </c>
      <c r="F13" t="s">
        <v>29</v>
      </c>
      <c r="G13" t="s">
        <v>67</v>
      </c>
      <c r="H13" t="s">
        <v>45</v>
      </c>
      <c r="I13" t="s">
        <v>68</v>
      </c>
      <c r="J13" s="6">
        <v>46203</v>
      </c>
      <c r="K13" t="s">
        <v>33</v>
      </c>
      <c r="L13" t="s">
        <v>52</v>
      </c>
      <c r="M13" t="s">
        <v>53</v>
      </c>
      <c r="N13" t="s">
        <v>69</v>
      </c>
      <c r="O13" s="15">
        <v>18400</v>
      </c>
      <c r="P13" s="15">
        <v>0</v>
      </c>
      <c r="Q13" s="15">
        <v>2944</v>
      </c>
      <c r="R13" s="15">
        <v>1962.67</v>
      </c>
      <c r="S13" s="15">
        <v>1840</v>
      </c>
      <c r="T13" s="15">
        <v>17541.330000000002</v>
      </c>
      <c r="U13" t="s">
        <v>37</v>
      </c>
      <c r="V13" s="30" t="s">
        <v>269</v>
      </c>
    </row>
    <row r="14" spans="1:22">
      <c r="A14" t="s">
        <v>25</v>
      </c>
      <c r="B14" t="s">
        <v>26</v>
      </c>
      <c r="C14" t="s">
        <v>27</v>
      </c>
      <c r="D14" s="6"/>
      <c r="E14" t="s">
        <v>28</v>
      </c>
      <c r="F14" t="s">
        <v>29</v>
      </c>
      <c r="G14" t="s">
        <v>70</v>
      </c>
      <c r="H14" t="s">
        <v>45</v>
      </c>
      <c r="I14" t="s">
        <v>71</v>
      </c>
      <c r="J14" s="6">
        <v>46203</v>
      </c>
      <c r="K14" t="s">
        <v>33</v>
      </c>
      <c r="L14" t="s">
        <v>52</v>
      </c>
      <c r="M14" t="s">
        <v>53</v>
      </c>
      <c r="N14" t="s">
        <v>72</v>
      </c>
      <c r="O14" s="15">
        <v>18400</v>
      </c>
      <c r="P14" s="15">
        <v>0</v>
      </c>
      <c r="Q14" s="15">
        <v>2944</v>
      </c>
      <c r="R14" s="15">
        <v>1962.67</v>
      </c>
      <c r="S14" s="15">
        <v>1840</v>
      </c>
      <c r="T14" s="15">
        <v>17541.330000000002</v>
      </c>
      <c r="U14" t="s">
        <v>37</v>
      </c>
      <c r="V14" s="30" t="s">
        <v>269</v>
      </c>
    </row>
    <row r="15" spans="1:22">
      <c r="A15" t="s">
        <v>25</v>
      </c>
      <c r="B15" t="s">
        <v>26</v>
      </c>
      <c r="C15" t="s">
        <v>27</v>
      </c>
      <c r="D15" s="6"/>
      <c r="E15" t="s">
        <v>28</v>
      </c>
      <c r="F15" t="s">
        <v>29</v>
      </c>
      <c r="G15" t="s">
        <v>73</v>
      </c>
      <c r="H15" t="s">
        <v>45</v>
      </c>
      <c r="I15" t="s">
        <v>74</v>
      </c>
      <c r="J15" s="6">
        <v>46203</v>
      </c>
      <c r="K15" t="s">
        <v>33</v>
      </c>
      <c r="L15" t="s">
        <v>52</v>
      </c>
      <c r="M15" t="s">
        <v>53</v>
      </c>
      <c r="N15" t="s">
        <v>75</v>
      </c>
      <c r="O15" s="15">
        <v>18400</v>
      </c>
      <c r="P15" s="15">
        <v>0</v>
      </c>
      <c r="Q15" s="15">
        <v>2944</v>
      </c>
      <c r="R15" s="15">
        <v>1962.67</v>
      </c>
      <c r="S15" s="15">
        <v>1840</v>
      </c>
      <c r="T15" s="15">
        <v>17541.330000000002</v>
      </c>
      <c r="U15" t="s">
        <v>37</v>
      </c>
      <c r="V15" s="30" t="s">
        <v>269</v>
      </c>
    </row>
    <row r="16" spans="1:22">
      <c r="A16" t="s">
        <v>25</v>
      </c>
      <c r="B16" t="s">
        <v>26</v>
      </c>
      <c r="C16" t="s">
        <v>27</v>
      </c>
      <c r="D16" s="6"/>
      <c r="E16" t="s">
        <v>28</v>
      </c>
      <c r="F16" t="s">
        <v>29</v>
      </c>
      <c r="G16" t="s">
        <v>76</v>
      </c>
      <c r="I16" t="s">
        <v>77</v>
      </c>
      <c r="J16" s="6">
        <v>46203</v>
      </c>
      <c r="K16" t="s">
        <v>33</v>
      </c>
      <c r="L16" t="s">
        <v>78</v>
      </c>
      <c r="M16" t="s">
        <v>79</v>
      </c>
      <c r="N16" t="s">
        <v>80</v>
      </c>
      <c r="O16" s="15">
        <v>842.24</v>
      </c>
      <c r="P16" s="15">
        <v>0</v>
      </c>
      <c r="Q16" s="15">
        <v>134.76</v>
      </c>
      <c r="R16" s="15">
        <v>0</v>
      </c>
      <c r="S16" s="15">
        <v>0</v>
      </c>
      <c r="T16" s="15">
        <v>977</v>
      </c>
      <c r="U16" t="s">
        <v>37</v>
      </c>
      <c r="V16" s="22" t="s">
        <v>211</v>
      </c>
    </row>
    <row r="17" spans="1:22">
      <c r="A17" t="s">
        <v>25</v>
      </c>
      <c r="B17" t="s">
        <v>26</v>
      </c>
      <c r="C17" t="s">
        <v>27</v>
      </c>
      <c r="D17" s="6"/>
      <c r="E17" t="s">
        <v>28</v>
      </c>
      <c r="F17" t="s">
        <v>29</v>
      </c>
      <c r="G17" t="s">
        <v>81</v>
      </c>
      <c r="H17" t="s">
        <v>82</v>
      </c>
      <c r="I17" t="s">
        <v>83</v>
      </c>
      <c r="J17" s="6">
        <v>46203</v>
      </c>
      <c r="K17" t="s">
        <v>33</v>
      </c>
      <c r="L17" t="s">
        <v>84</v>
      </c>
      <c r="M17" t="s">
        <v>85</v>
      </c>
      <c r="N17" t="s">
        <v>86</v>
      </c>
      <c r="O17" s="15">
        <v>748.66</v>
      </c>
      <c r="P17" s="15">
        <v>15.96</v>
      </c>
      <c r="Q17" s="15">
        <v>0</v>
      </c>
      <c r="R17" s="15">
        <v>0</v>
      </c>
      <c r="S17" s="15">
        <v>0</v>
      </c>
      <c r="T17" s="15">
        <v>732.7</v>
      </c>
      <c r="U17" t="s">
        <v>37</v>
      </c>
      <c r="V17" s="22" t="s">
        <v>211</v>
      </c>
    </row>
    <row r="18" spans="1:22">
      <c r="A18" t="s">
        <v>25</v>
      </c>
      <c r="B18" t="s">
        <v>26</v>
      </c>
      <c r="C18" t="s">
        <v>27</v>
      </c>
      <c r="D18" s="6"/>
      <c r="E18" t="s">
        <v>28</v>
      </c>
      <c r="F18" t="s">
        <v>29</v>
      </c>
      <c r="G18" t="s">
        <v>94</v>
      </c>
      <c r="H18" t="s">
        <v>95</v>
      </c>
      <c r="I18" t="s">
        <v>96</v>
      </c>
      <c r="J18" s="6">
        <v>46200</v>
      </c>
      <c r="K18" t="s">
        <v>33</v>
      </c>
      <c r="L18" t="s">
        <v>97</v>
      </c>
      <c r="M18" t="s">
        <v>98</v>
      </c>
      <c r="N18" t="s">
        <v>99</v>
      </c>
      <c r="O18" s="15">
        <v>807.06</v>
      </c>
      <c r="P18" s="15">
        <v>0</v>
      </c>
      <c r="Q18" s="15">
        <v>125.34</v>
      </c>
      <c r="R18" s="15">
        <v>0</v>
      </c>
      <c r="S18" s="15">
        <v>0</v>
      </c>
      <c r="T18" s="15">
        <v>932.4</v>
      </c>
      <c r="U18" t="s">
        <v>37</v>
      </c>
      <c r="V18" s="22" t="s">
        <v>211</v>
      </c>
    </row>
    <row r="19" spans="1:22">
      <c r="A19" t="s">
        <v>25</v>
      </c>
      <c r="B19" t="s">
        <v>26</v>
      </c>
      <c r="C19" t="s">
        <v>27</v>
      </c>
      <c r="D19" s="6"/>
      <c r="E19" t="s">
        <v>28</v>
      </c>
      <c r="F19" t="s">
        <v>29</v>
      </c>
      <c r="G19" t="s">
        <v>100</v>
      </c>
      <c r="H19" t="s">
        <v>101</v>
      </c>
      <c r="I19" t="s">
        <v>102</v>
      </c>
      <c r="J19" s="6">
        <v>46199</v>
      </c>
      <c r="K19" t="s">
        <v>33</v>
      </c>
      <c r="L19" t="s">
        <v>103</v>
      </c>
      <c r="M19" t="s">
        <v>104</v>
      </c>
      <c r="N19" t="s">
        <v>105</v>
      </c>
      <c r="O19" s="15">
        <v>521.54999999999995</v>
      </c>
      <c r="P19" s="15">
        <v>25.86</v>
      </c>
      <c r="Q19" s="15">
        <v>79.31</v>
      </c>
      <c r="R19" s="15">
        <v>0</v>
      </c>
      <c r="S19" s="15">
        <v>0</v>
      </c>
      <c r="T19" s="15">
        <v>575</v>
      </c>
      <c r="U19" t="s">
        <v>37</v>
      </c>
      <c r="V19" s="22" t="s">
        <v>264</v>
      </c>
    </row>
    <row r="20" spans="1:22">
      <c r="A20" t="s">
        <v>25</v>
      </c>
      <c r="B20" t="s">
        <v>26</v>
      </c>
      <c r="C20" t="s">
        <v>27</v>
      </c>
      <c r="D20" s="6"/>
      <c r="E20" t="s">
        <v>28</v>
      </c>
      <c r="F20" t="s">
        <v>29</v>
      </c>
      <c r="G20" t="s">
        <v>106</v>
      </c>
      <c r="H20" t="s">
        <v>101</v>
      </c>
      <c r="I20" t="s">
        <v>107</v>
      </c>
      <c r="J20" s="6">
        <v>46199</v>
      </c>
      <c r="K20" t="s">
        <v>33</v>
      </c>
      <c r="L20" t="s">
        <v>103</v>
      </c>
      <c r="M20" t="s">
        <v>104</v>
      </c>
      <c r="N20" t="s">
        <v>108</v>
      </c>
      <c r="O20" s="15">
        <v>521.54999999999995</v>
      </c>
      <c r="P20" s="15">
        <v>0</v>
      </c>
      <c r="Q20" s="15">
        <v>83.45</v>
      </c>
      <c r="R20" s="15">
        <v>0</v>
      </c>
      <c r="S20" s="15">
        <v>0</v>
      </c>
      <c r="T20" s="15">
        <v>605</v>
      </c>
      <c r="U20" t="s">
        <v>37</v>
      </c>
      <c r="V20" s="22" t="s">
        <v>264</v>
      </c>
    </row>
    <row r="21" spans="1:22">
      <c r="A21" t="s">
        <v>25</v>
      </c>
      <c r="B21" t="s">
        <v>26</v>
      </c>
      <c r="C21" t="s">
        <v>27</v>
      </c>
      <c r="D21" s="6"/>
      <c r="E21" t="s">
        <v>28</v>
      </c>
      <c r="F21" t="s">
        <v>29</v>
      </c>
      <c r="G21" t="s">
        <v>109</v>
      </c>
      <c r="H21" t="s">
        <v>88</v>
      </c>
      <c r="I21" t="s">
        <v>110</v>
      </c>
      <c r="J21" s="6">
        <v>46198</v>
      </c>
      <c r="K21" t="s">
        <v>33</v>
      </c>
      <c r="L21" t="s">
        <v>111</v>
      </c>
      <c r="M21" t="s">
        <v>112</v>
      </c>
      <c r="N21" t="s">
        <v>113</v>
      </c>
      <c r="O21" s="15">
        <v>59460</v>
      </c>
      <c r="P21" s="15">
        <v>0</v>
      </c>
      <c r="Q21" s="15">
        <v>9513.6</v>
      </c>
      <c r="R21" s="15">
        <v>0</v>
      </c>
      <c r="S21" s="15">
        <v>0</v>
      </c>
      <c r="T21" s="15">
        <v>68973.600000000006</v>
      </c>
      <c r="U21" t="s">
        <v>93</v>
      </c>
      <c r="V21" s="21" t="s">
        <v>210</v>
      </c>
    </row>
    <row r="22" spans="1:22">
      <c r="A22" t="s">
        <v>25</v>
      </c>
      <c r="B22" t="s">
        <v>26</v>
      </c>
      <c r="C22" t="s">
        <v>27</v>
      </c>
      <c r="D22" s="6"/>
      <c r="E22" t="s">
        <v>28</v>
      </c>
      <c r="F22" t="s">
        <v>29</v>
      </c>
      <c r="G22" t="s">
        <v>114</v>
      </c>
      <c r="H22" t="s">
        <v>88</v>
      </c>
      <c r="I22" t="s">
        <v>115</v>
      </c>
      <c r="J22" s="6">
        <v>46198</v>
      </c>
      <c r="K22" t="s">
        <v>33</v>
      </c>
      <c r="L22" t="s">
        <v>111</v>
      </c>
      <c r="M22" t="s">
        <v>112</v>
      </c>
      <c r="N22" t="s">
        <v>116</v>
      </c>
      <c r="O22" s="15">
        <v>131955</v>
      </c>
      <c r="P22" s="15">
        <v>0</v>
      </c>
      <c r="Q22" s="15">
        <v>21112.799999999999</v>
      </c>
      <c r="R22" s="15">
        <v>0</v>
      </c>
      <c r="S22" s="15">
        <v>0</v>
      </c>
      <c r="T22" s="15">
        <v>153067.79999999999</v>
      </c>
      <c r="U22" t="s">
        <v>93</v>
      </c>
      <c r="V22" s="21" t="s">
        <v>210</v>
      </c>
    </row>
    <row r="23" spans="1:22">
      <c r="A23" t="s">
        <v>25</v>
      </c>
      <c r="B23" t="s">
        <v>26</v>
      </c>
      <c r="C23" t="s">
        <v>27</v>
      </c>
      <c r="D23" s="6"/>
      <c r="E23" t="s">
        <v>28</v>
      </c>
      <c r="F23" t="s">
        <v>29</v>
      </c>
      <c r="G23" t="s">
        <v>117</v>
      </c>
      <c r="H23" t="s">
        <v>45</v>
      </c>
      <c r="I23" t="s">
        <v>118</v>
      </c>
      <c r="J23" s="6">
        <v>46197</v>
      </c>
      <c r="K23" t="s">
        <v>33</v>
      </c>
      <c r="L23" t="s">
        <v>119</v>
      </c>
      <c r="M23" t="s">
        <v>120</v>
      </c>
      <c r="N23" t="s">
        <v>121</v>
      </c>
      <c r="O23" s="15">
        <v>862.07</v>
      </c>
      <c r="P23" s="15">
        <v>0</v>
      </c>
      <c r="Q23" s="15">
        <v>137.93</v>
      </c>
      <c r="R23" s="15">
        <v>0</v>
      </c>
      <c r="S23" s="15">
        <v>0</v>
      </c>
      <c r="T23" s="15">
        <v>1000</v>
      </c>
      <c r="U23" t="s">
        <v>37</v>
      </c>
      <c r="V23" s="22" t="s">
        <v>211</v>
      </c>
    </row>
    <row r="24" spans="1:22">
      <c r="A24" t="s">
        <v>25</v>
      </c>
      <c r="B24" t="s">
        <v>26</v>
      </c>
      <c r="C24" t="s">
        <v>27</v>
      </c>
      <c r="D24" s="6"/>
      <c r="E24" t="s">
        <v>28</v>
      </c>
      <c r="F24" t="s">
        <v>29</v>
      </c>
      <c r="G24" t="s">
        <v>122</v>
      </c>
      <c r="H24" t="s">
        <v>123</v>
      </c>
      <c r="I24" t="s">
        <v>124</v>
      </c>
      <c r="J24" s="6">
        <v>46196</v>
      </c>
      <c r="K24" t="s">
        <v>33</v>
      </c>
      <c r="L24" t="s">
        <v>125</v>
      </c>
      <c r="M24" t="s">
        <v>126</v>
      </c>
      <c r="N24" t="s">
        <v>127</v>
      </c>
      <c r="O24" s="15">
        <v>112.93</v>
      </c>
      <c r="P24" s="15">
        <v>0</v>
      </c>
      <c r="Q24" s="15">
        <v>18.07</v>
      </c>
      <c r="R24" s="15">
        <v>0</v>
      </c>
      <c r="S24" s="15">
        <v>0</v>
      </c>
      <c r="T24" s="15">
        <v>131</v>
      </c>
      <c r="U24" t="s">
        <v>37</v>
      </c>
      <c r="V24" s="22" t="s">
        <v>211</v>
      </c>
    </row>
    <row r="25" spans="1:22">
      <c r="A25" t="s">
        <v>25</v>
      </c>
      <c r="B25" t="s">
        <v>26</v>
      </c>
      <c r="C25" t="s">
        <v>27</v>
      </c>
      <c r="D25" s="6"/>
      <c r="E25" t="s">
        <v>28</v>
      </c>
      <c r="F25" t="s">
        <v>29</v>
      </c>
      <c r="G25" t="s">
        <v>134</v>
      </c>
      <c r="H25" t="s">
        <v>95</v>
      </c>
      <c r="I25" t="s">
        <v>135</v>
      </c>
      <c r="J25" s="6">
        <v>46194</v>
      </c>
      <c r="K25" t="s">
        <v>33</v>
      </c>
      <c r="L25" t="s">
        <v>97</v>
      </c>
      <c r="M25" t="s">
        <v>98</v>
      </c>
      <c r="N25" t="s">
        <v>136</v>
      </c>
      <c r="O25" s="15">
        <v>504.41</v>
      </c>
      <c r="P25" s="15">
        <v>0</v>
      </c>
      <c r="Q25" s="15">
        <v>78.34</v>
      </c>
      <c r="R25" s="15">
        <v>0</v>
      </c>
      <c r="S25" s="15">
        <v>0</v>
      </c>
      <c r="T25" s="15">
        <v>582.75</v>
      </c>
      <c r="U25" t="s">
        <v>37</v>
      </c>
      <c r="V25" s="22" t="s">
        <v>211</v>
      </c>
    </row>
    <row r="26" spans="1:22">
      <c r="A26" t="s">
        <v>25</v>
      </c>
      <c r="B26" t="s">
        <v>26</v>
      </c>
      <c r="C26" t="s">
        <v>27</v>
      </c>
      <c r="D26" s="6"/>
      <c r="E26" t="s">
        <v>28</v>
      </c>
      <c r="F26" t="s">
        <v>29</v>
      </c>
      <c r="G26" t="s">
        <v>142</v>
      </c>
      <c r="J26" s="6">
        <v>46191</v>
      </c>
      <c r="K26" t="s">
        <v>33</v>
      </c>
      <c r="L26" t="s">
        <v>143</v>
      </c>
      <c r="M26" t="s">
        <v>144</v>
      </c>
      <c r="N26" t="s">
        <v>145</v>
      </c>
      <c r="O26" s="15">
        <v>250</v>
      </c>
      <c r="P26" s="15">
        <v>0</v>
      </c>
      <c r="Q26" s="15">
        <v>0</v>
      </c>
      <c r="R26" s="15">
        <v>0</v>
      </c>
      <c r="S26" s="15">
        <v>0</v>
      </c>
      <c r="T26" s="15">
        <v>250</v>
      </c>
      <c r="U26" t="s">
        <v>37</v>
      </c>
      <c r="V26" s="22" t="s">
        <v>264</v>
      </c>
    </row>
    <row r="27" spans="1:22">
      <c r="A27" t="s">
        <v>25</v>
      </c>
      <c r="B27" t="s">
        <v>26</v>
      </c>
      <c r="C27" t="s">
        <v>27</v>
      </c>
      <c r="D27" s="6"/>
      <c r="E27" t="s">
        <v>28</v>
      </c>
      <c r="F27" t="s">
        <v>29</v>
      </c>
      <c r="G27" t="s">
        <v>146</v>
      </c>
      <c r="H27" t="s">
        <v>147</v>
      </c>
      <c r="I27" t="s">
        <v>148</v>
      </c>
      <c r="J27" s="6">
        <v>46191</v>
      </c>
      <c r="K27" t="s">
        <v>33</v>
      </c>
      <c r="L27" t="s">
        <v>149</v>
      </c>
      <c r="M27" t="s">
        <v>150</v>
      </c>
      <c r="N27" t="s">
        <v>151</v>
      </c>
      <c r="O27" s="15">
        <v>4309.4799999999996</v>
      </c>
      <c r="P27" s="15">
        <v>0</v>
      </c>
      <c r="Q27" s="15">
        <v>689.52</v>
      </c>
      <c r="R27" s="15">
        <v>0</v>
      </c>
      <c r="S27" s="15">
        <v>0</v>
      </c>
      <c r="T27" s="15">
        <v>4999</v>
      </c>
      <c r="U27" t="s">
        <v>37</v>
      </c>
      <c r="V27" s="22" t="s">
        <v>265</v>
      </c>
    </row>
    <row r="28" spans="1:22">
      <c r="A28" t="s">
        <v>25</v>
      </c>
      <c r="B28" t="s">
        <v>26</v>
      </c>
      <c r="C28" t="s">
        <v>27</v>
      </c>
      <c r="D28" s="6"/>
      <c r="E28" t="s">
        <v>28</v>
      </c>
      <c r="F28" t="s">
        <v>29</v>
      </c>
      <c r="G28" t="s">
        <v>152</v>
      </c>
      <c r="H28" t="s">
        <v>153</v>
      </c>
      <c r="I28" t="s">
        <v>154</v>
      </c>
      <c r="J28" s="6">
        <v>46191</v>
      </c>
      <c r="K28" t="s">
        <v>33</v>
      </c>
      <c r="L28" t="s">
        <v>155</v>
      </c>
      <c r="M28" t="s">
        <v>156</v>
      </c>
      <c r="N28" t="s">
        <v>157</v>
      </c>
      <c r="O28" s="15">
        <v>5893.62</v>
      </c>
      <c r="P28" s="15">
        <v>0</v>
      </c>
      <c r="Q28" s="15">
        <v>942.98</v>
      </c>
      <c r="R28" s="15">
        <v>0</v>
      </c>
      <c r="S28" s="15">
        <v>0</v>
      </c>
      <c r="T28" s="15">
        <v>6836.6</v>
      </c>
      <c r="U28" t="s">
        <v>93</v>
      </c>
      <c r="V28" s="21" t="s">
        <v>210</v>
      </c>
    </row>
    <row r="29" spans="1:22">
      <c r="A29" t="s">
        <v>25</v>
      </c>
      <c r="B29" t="s">
        <v>26</v>
      </c>
      <c r="C29" t="s">
        <v>27</v>
      </c>
      <c r="D29" s="6"/>
      <c r="E29" t="s">
        <v>28</v>
      </c>
      <c r="F29" t="s">
        <v>29</v>
      </c>
      <c r="G29" t="s">
        <v>158</v>
      </c>
      <c r="H29" t="s">
        <v>159</v>
      </c>
      <c r="I29" t="s">
        <v>160</v>
      </c>
      <c r="J29" s="6">
        <v>46189</v>
      </c>
      <c r="K29" t="s">
        <v>33</v>
      </c>
      <c r="L29" t="s">
        <v>161</v>
      </c>
      <c r="M29" t="s">
        <v>162</v>
      </c>
      <c r="N29" t="s">
        <v>163</v>
      </c>
      <c r="O29" s="15">
        <v>881.9</v>
      </c>
      <c r="P29" s="15">
        <v>0</v>
      </c>
      <c r="Q29" s="15">
        <v>141.1</v>
      </c>
      <c r="R29" s="15">
        <v>0</v>
      </c>
      <c r="S29" s="15">
        <v>0</v>
      </c>
      <c r="T29" s="15">
        <v>1023</v>
      </c>
      <c r="U29" t="s">
        <v>37</v>
      </c>
      <c r="V29" s="21" t="s">
        <v>210</v>
      </c>
    </row>
    <row r="30" spans="1:22">
      <c r="A30" t="s">
        <v>25</v>
      </c>
      <c r="B30" t="s">
        <v>26</v>
      </c>
      <c r="C30" t="s">
        <v>27</v>
      </c>
      <c r="D30" s="6"/>
      <c r="E30" t="s">
        <v>28</v>
      </c>
      <c r="F30" t="s">
        <v>29</v>
      </c>
      <c r="G30" t="s">
        <v>164</v>
      </c>
      <c r="H30" t="s">
        <v>165</v>
      </c>
      <c r="I30" t="s">
        <v>166</v>
      </c>
      <c r="J30" s="6">
        <v>46189</v>
      </c>
      <c r="K30" t="s">
        <v>33</v>
      </c>
      <c r="L30" t="s">
        <v>167</v>
      </c>
      <c r="M30" t="s">
        <v>168</v>
      </c>
      <c r="N30" t="s">
        <v>169</v>
      </c>
      <c r="O30" s="15">
        <v>913.8</v>
      </c>
      <c r="P30" s="15">
        <v>0</v>
      </c>
      <c r="Q30" s="15">
        <v>146.19999999999999</v>
      </c>
      <c r="R30" s="15">
        <v>0</v>
      </c>
      <c r="S30" s="15">
        <v>0</v>
      </c>
      <c r="T30" s="15">
        <v>1060</v>
      </c>
      <c r="U30" t="s">
        <v>37</v>
      </c>
      <c r="V30" s="22" t="s">
        <v>263</v>
      </c>
    </row>
    <row r="31" spans="1:22">
      <c r="A31" t="s">
        <v>25</v>
      </c>
      <c r="B31" t="s">
        <v>26</v>
      </c>
      <c r="C31" t="s">
        <v>27</v>
      </c>
      <c r="D31" s="6"/>
      <c r="E31" t="s">
        <v>28</v>
      </c>
      <c r="F31" t="s">
        <v>29</v>
      </c>
      <c r="G31" t="s">
        <v>170</v>
      </c>
      <c r="H31" t="s">
        <v>95</v>
      </c>
      <c r="I31" t="s">
        <v>171</v>
      </c>
      <c r="J31" s="6">
        <v>46187</v>
      </c>
      <c r="K31" t="s">
        <v>33</v>
      </c>
      <c r="L31" t="s">
        <v>97</v>
      </c>
      <c r="M31" t="s">
        <v>98</v>
      </c>
      <c r="N31" t="s">
        <v>172</v>
      </c>
      <c r="O31" s="15">
        <v>605.29</v>
      </c>
      <c r="P31" s="15">
        <v>0</v>
      </c>
      <c r="Q31" s="15">
        <v>94.01</v>
      </c>
      <c r="R31" s="15">
        <v>0</v>
      </c>
      <c r="S31" s="15">
        <v>0</v>
      </c>
      <c r="T31" s="15">
        <v>699.3</v>
      </c>
      <c r="U31" t="s">
        <v>37</v>
      </c>
      <c r="V31" s="22" t="s">
        <v>211</v>
      </c>
    </row>
    <row r="32" spans="1:22">
      <c r="A32" t="s">
        <v>25</v>
      </c>
      <c r="B32" t="s">
        <v>26</v>
      </c>
      <c r="C32" t="s">
        <v>27</v>
      </c>
      <c r="D32" s="6"/>
      <c r="E32" t="s">
        <v>28</v>
      </c>
      <c r="F32" t="s">
        <v>29</v>
      </c>
      <c r="G32" t="s">
        <v>173</v>
      </c>
      <c r="H32" t="s">
        <v>95</v>
      </c>
      <c r="I32" t="s">
        <v>174</v>
      </c>
      <c r="J32" s="6">
        <v>46185</v>
      </c>
      <c r="K32" t="s">
        <v>33</v>
      </c>
      <c r="L32" t="s">
        <v>97</v>
      </c>
      <c r="M32" t="s">
        <v>98</v>
      </c>
      <c r="N32" t="s">
        <v>175</v>
      </c>
      <c r="O32" s="15">
        <v>1008.82</v>
      </c>
      <c r="P32" s="15">
        <v>0</v>
      </c>
      <c r="Q32" s="15">
        <v>156.68</v>
      </c>
      <c r="R32" s="15">
        <v>0</v>
      </c>
      <c r="S32" s="15">
        <v>0</v>
      </c>
      <c r="T32" s="15">
        <v>1165.5</v>
      </c>
      <c r="U32" t="s">
        <v>37</v>
      </c>
      <c r="V32" s="22" t="s">
        <v>211</v>
      </c>
    </row>
    <row r="33" spans="1:22">
      <c r="A33" t="s">
        <v>25</v>
      </c>
      <c r="B33" t="s">
        <v>26</v>
      </c>
      <c r="C33" t="s">
        <v>27</v>
      </c>
      <c r="D33" s="6"/>
      <c r="E33" t="s">
        <v>28</v>
      </c>
      <c r="F33" t="s">
        <v>29</v>
      </c>
      <c r="G33" t="s">
        <v>176</v>
      </c>
      <c r="H33" t="s">
        <v>123</v>
      </c>
      <c r="I33" t="s">
        <v>177</v>
      </c>
      <c r="J33" s="6">
        <v>46182</v>
      </c>
      <c r="K33" t="s">
        <v>33</v>
      </c>
      <c r="L33" t="s">
        <v>178</v>
      </c>
      <c r="M33" t="s">
        <v>179</v>
      </c>
      <c r="N33" t="s">
        <v>180</v>
      </c>
      <c r="O33" s="15">
        <v>40000</v>
      </c>
      <c r="P33" s="15">
        <v>0</v>
      </c>
      <c r="Q33" s="15">
        <v>6400</v>
      </c>
      <c r="R33" s="15">
        <v>0</v>
      </c>
      <c r="S33" s="15">
        <v>0</v>
      </c>
      <c r="T33" s="15">
        <v>46400</v>
      </c>
      <c r="U33" t="s">
        <v>37</v>
      </c>
      <c r="V33" s="21" t="s">
        <v>210</v>
      </c>
    </row>
    <row r="34" spans="1:22">
      <c r="A34" t="s">
        <v>25</v>
      </c>
      <c r="B34" t="s">
        <v>26</v>
      </c>
      <c r="C34" t="s">
        <v>27</v>
      </c>
      <c r="D34" s="6"/>
      <c r="E34" t="s">
        <v>28</v>
      </c>
      <c r="F34" t="s">
        <v>29</v>
      </c>
      <c r="G34" t="s">
        <v>181</v>
      </c>
      <c r="H34" t="s">
        <v>95</v>
      </c>
      <c r="I34" t="s">
        <v>182</v>
      </c>
      <c r="J34" s="6">
        <v>46180</v>
      </c>
      <c r="K34" t="s">
        <v>33</v>
      </c>
      <c r="L34" t="s">
        <v>97</v>
      </c>
      <c r="M34" t="s">
        <v>98</v>
      </c>
      <c r="N34" t="s">
        <v>183</v>
      </c>
      <c r="O34" s="15">
        <v>605.29</v>
      </c>
      <c r="P34" s="15">
        <v>0</v>
      </c>
      <c r="Q34" s="15">
        <v>94.01</v>
      </c>
      <c r="R34" s="15">
        <v>0</v>
      </c>
      <c r="S34" s="15">
        <v>0</v>
      </c>
      <c r="T34" s="15">
        <v>699.3</v>
      </c>
      <c r="U34" t="s">
        <v>37</v>
      </c>
      <c r="V34" s="22" t="s">
        <v>211</v>
      </c>
    </row>
    <row r="35" spans="1:22">
      <c r="A35" t="s">
        <v>25</v>
      </c>
      <c r="B35" t="s">
        <v>26</v>
      </c>
      <c r="C35" t="s">
        <v>27</v>
      </c>
      <c r="D35" s="6"/>
      <c r="E35" t="s">
        <v>28</v>
      </c>
      <c r="F35" t="s">
        <v>29</v>
      </c>
      <c r="G35" t="s">
        <v>184</v>
      </c>
      <c r="H35" t="s">
        <v>185</v>
      </c>
      <c r="I35" t="s">
        <v>186</v>
      </c>
      <c r="J35" s="6">
        <v>46177</v>
      </c>
      <c r="K35" t="s">
        <v>33</v>
      </c>
      <c r="L35" t="s">
        <v>187</v>
      </c>
      <c r="M35" t="s">
        <v>188</v>
      </c>
      <c r="N35" t="s">
        <v>189</v>
      </c>
      <c r="O35" s="15">
        <v>250</v>
      </c>
      <c r="P35" s="15">
        <v>0</v>
      </c>
      <c r="Q35" s="15">
        <v>40</v>
      </c>
      <c r="R35" s="15">
        <v>0</v>
      </c>
      <c r="S35" s="15">
        <v>0</v>
      </c>
      <c r="T35" s="15">
        <v>290</v>
      </c>
      <c r="U35" t="s">
        <v>37</v>
      </c>
      <c r="V35" s="22" t="s">
        <v>263</v>
      </c>
    </row>
    <row r="36" spans="1:22">
      <c r="A36" t="s">
        <v>25</v>
      </c>
      <c r="B36" t="s">
        <v>26</v>
      </c>
      <c r="C36" t="s">
        <v>27</v>
      </c>
      <c r="D36" s="6"/>
      <c r="E36" t="s">
        <v>28</v>
      </c>
      <c r="F36" t="s">
        <v>29</v>
      </c>
      <c r="G36" t="s">
        <v>197</v>
      </c>
      <c r="H36" t="s">
        <v>45</v>
      </c>
      <c r="I36" t="s">
        <v>198</v>
      </c>
      <c r="J36" s="6">
        <v>46174</v>
      </c>
      <c r="K36" t="s">
        <v>33</v>
      </c>
      <c r="L36" t="s">
        <v>199</v>
      </c>
      <c r="M36" t="s">
        <v>200</v>
      </c>
      <c r="N36" t="s">
        <v>201</v>
      </c>
      <c r="O36" s="15">
        <v>4020</v>
      </c>
      <c r="P36" s="15">
        <v>0</v>
      </c>
      <c r="Q36" s="15">
        <v>643.20000000000005</v>
      </c>
      <c r="R36" s="15">
        <v>0</v>
      </c>
      <c r="S36" s="15">
        <v>0</v>
      </c>
      <c r="T36" s="15">
        <v>4663.2</v>
      </c>
      <c r="U36" t="s">
        <v>37</v>
      </c>
      <c r="V36" s="21" t="s">
        <v>210</v>
      </c>
    </row>
    <row r="37" spans="1:22">
      <c r="A37" t="s">
        <v>25</v>
      </c>
      <c r="B37" t="s">
        <v>26</v>
      </c>
      <c r="C37" t="s">
        <v>27</v>
      </c>
      <c r="D37" s="6"/>
      <c r="E37" t="s">
        <v>28</v>
      </c>
      <c r="F37" t="s">
        <v>29</v>
      </c>
      <c r="G37" t="s">
        <v>202</v>
      </c>
      <c r="I37" t="s">
        <v>203</v>
      </c>
      <c r="J37" s="6">
        <v>46174</v>
      </c>
      <c r="K37" t="s">
        <v>33</v>
      </c>
      <c r="L37" t="s">
        <v>204</v>
      </c>
      <c r="M37" t="s">
        <v>205</v>
      </c>
      <c r="N37" t="s">
        <v>206</v>
      </c>
      <c r="O37" s="15">
        <v>3177.6</v>
      </c>
      <c r="P37" s="15">
        <v>0</v>
      </c>
      <c r="Q37" s="15">
        <v>508.41</v>
      </c>
      <c r="R37" s="15">
        <v>338.93</v>
      </c>
      <c r="S37" s="15">
        <v>317.76</v>
      </c>
      <c r="T37" s="15">
        <v>3029.32</v>
      </c>
      <c r="U37" t="s">
        <v>93</v>
      </c>
      <c r="V37" s="29" t="s">
        <v>268</v>
      </c>
    </row>
    <row r="38" spans="1:22">
      <c r="D38" s="6"/>
      <c r="J38" s="6"/>
      <c r="N38" s="8" t="s">
        <v>271</v>
      </c>
      <c r="O38" s="16">
        <f>IFERROR(SUMIF(C6:C37,"Vigente",O6:O37),0)</f>
        <v>372934.03999999992</v>
      </c>
      <c r="P38" s="16">
        <f>IFERROR(SUMIF(C6:C37,"Vigente",P6:P37),0)</f>
        <v>41.82</v>
      </c>
      <c r="Q38" s="16">
        <f>IFERROR(SUMIF(C6:C37,"Vigente",Q6:Q37),0)</f>
        <v>59488.959999999992</v>
      </c>
      <c r="R38" s="16">
        <f>IFERROR(SUMIF(C6:C37,"Vigente",R6:R37),0)</f>
        <v>12114.95</v>
      </c>
      <c r="S38" s="16">
        <f>IFERROR(SUMIF(C6:C37,"Vigente",S6:S37),0)</f>
        <v>11357.76</v>
      </c>
      <c r="T38" s="16">
        <f>IFERROR(SUMIF(C6:C37,"Vigente",T6:T37),0)</f>
        <v>408908.47</v>
      </c>
    </row>
    <row r="40" spans="1:22">
      <c r="A40" s="23" t="s">
        <v>25</v>
      </c>
      <c r="B40" s="23" t="s">
        <v>26</v>
      </c>
      <c r="C40" s="23" t="s">
        <v>27</v>
      </c>
      <c r="D40" s="24"/>
      <c r="E40" s="23" t="s">
        <v>28</v>
      </c>
      <c r="F40" s="23" t="s">
        <v>29</v>
      </c>
      <c r="G40" s="23" t="s">
        <v>212</v>
      </c>
      <c r="H40" s="23" t="s">
        <v>95</v>
      </c>
      <c r="I40" s="23" t="s">
        <v>213</v>
      </c>
      <c r="J40" s="24">
        <v>46173</v>
      </c>
      <c r="K40" s="23" t="s">
        <v>33</v>
      </c>
      <c r="L40" s="23" t="s">
        <v>97</v>
      </c>
      <c r="M40" s="23" t="s">
        <v>98</v>
      </c>
      <c r="N40" s="23" t="s">
        <v>214</v>
      </c>
      <c r="O40" s="25">
        <v>807.06</v>
      </c>
      <c r="P40" s="25">
        <v>0</v>
      </c>
      <c r="Q40" s="25">
        <v>125.34</v>
      </c>
      <c r="T40" s="25">
        <v>932.4</v>
      </c>
      <c r="U40" s="23" t="s">
        <v>37</v>
      </c>
      <c r="V40" s="26" t="s">
        <v>272</v>
      </c>
    </row>
    <row r="41" spans="1:22">
      <c r="A41" s="23" t="s">
        <v>25</v>
      </c>
      <c r="B41" s="23" t="s">
        <v>26</v>
      </c>
      <c r="C41" s="23" t="s">
        <v>27</v>
      </c>
      <c r="D41" s="24"/>
      <c r="E41" s="23" t="s">
        <v>28</v>
      </c>
      <c r="F41" s="23" t="s">
        <v>29</v>
      </c>
      <c r="G41" s="23" t="s">
        <v>216</v>
      </c>
      <c r="H41" s="23" t="s">
        <v>95</v>
      </c>
      <c r="I41" s="23" t="s">
        <v>217</v>
      </c>
      <c r="J41" s="24">
        <v>46173</v>
      </c>
      <c r="K41" s="23" t="s">
        <v>33</v>
      </c>
      <c r="L41" s="23" t="s">
        <v>97</v>
      </c>
      <c r="M41" s="23" t="s">
        <v>98</v>
      </c>
      <c r="N41" s="23" t="s">
        <v>218</v>
      </c>
      <c r="O41" s="25">
        <v>847.41</v>
      </c>
      <c r="P41" s="25">
        <v>0</v>
      </c>
      <c r="Q41" s="25">
        <v>131.61000000000001</v>
      </c>
      <c r="T41" s="25">
        <v>979.02</v>
      </c>
      <c r="U41" s="23" t="s">
        <v>37</v>
      </c>
      <c r="V41" s="26" t="s">
        <v>272</v>
      </c>
    </row>
    <row r="42" spans="1:22">
      <c r="A42" s="23" t="s">
        <v>25</v>
      </c>
      <c r="B42" s="23" t="s">
        <v>26</v>
      </c>
      <c r="C42" s="23" t="s">
        <v>27</v>
      </c>
      <c r="D42" s="24"/>
      <c r="E42" s="23" t="s">
        <v>28</v>
      </c>
      <c r="F42" s="23" t="s">
        <v>29</v>
      </c>
      <c r="G42" s="23" t="s">
        <v>219</v>
      </c>
      <c r="H42" s="23" t="s">
        <v>95</v>
      </c>
      <c r="I42" s="23" t="s">
        <v>220</v>
      </c>
      <c r="J42" s="24">
        <v>46162</v>
      </c>
      <c r="K42" s="23" t="s">
        <v>33</v>
      </c>
      <c r="L42" s="23" t="s">
        <v>97</v>
      </c>
      <c r="M42" s="23" t="s">
        <v>98</v>
      </c>
      <c r="N42" s="23" t="s">
        <v>221</v>
      </c>
      <c r="O42" s="25">
        <v>665.82</v>
      </c>
      <c r="P42" s="25">
        <v>0</v>
      </c>
      <c r="Q42" s="25">
        <v>103.41</v>
      </c>
      <c r="T42" s="25">
        <v>769.23</v>
      </c>
      <c r="U42" s="23" t="s">
        <v>37</v>
      </c>
      <c r="V42" s="26" t="s">
        <v>272</v>
      </c>
    </row>
    <row r="43" spans="1:22">
      <c r="A43" s="23" t="s">
        <v>25</v>
      </c>
      <c r="B43" s="23" t="s">
        <v>26</v>
      </c>
      <c r="C43" s="23" t="s">
        <v>27</v>
      </c>
      <c r="D43" s="24"/>
      <c r="E43" s="23" t="s">
        <v>28</v>
      </c>
      <c r="F43" s="23" t="s">
        <v>29</v>
      </c>
      <c r="G43" s="23" t="s">
        <v>223</v>
      </c>
      <c r="H43" s="23" t="s">
        <v>95</v>
      </c>
      <c r="I43" s="23" t="s">
        <v>224</v>
      </c>
      <c r="J43" s="24">
        <v>46155</v>
      </c>
      <c r="K43" s="23" t="s">
        <v>33</v>
      </c>
      <c r="L43" s="23" t="s">
        <v>97</v>
      </c>
      <c r="M43" s="23" t="s">
        <v>98</v>
      </c>
      <c r="N43" s="23" t="s">
        <v>225</v>
      </c>
      <c r="O43" s="25">
        <v>625.47</v>
      </c>
      <c r="P43" s="25">
        <v>0</v>
      </c>
      <c r="Q43" s="25">
        <v>97.14</v>
      </c>
      <c r="T43" s="25">
        <v>722.61</v>
      </c>
      <c r="U43" s="23" t="s">
        <v>37</v>
      </c>
      <c r="V43" s="26" t="s">
        <v>272</v>
      </c>
    </row>
    <row r="44" spans="1:22">
      <c r="A44" s="23" t="s">
        <v>25</v>
      </c>
      <c r="B44" s="23" t="s">
        <v>26</v>
      </c>
      <c r="C44" s="23" t="s">
        <v>27</v>
      </c>
      <c r="D44" s="24"/>
      <c r="E44" s="23" t="s">
        <v>28</v>
      </c>
      <c r="F44" s="23" t="s">
        <v>29</v>
      </c>
      <c r="G44" s="23" t="s">
        <v>226</v>
      </c>
      <c r="H44" s="23" t="s">
        <v>95</v>
      </c>
      <c r="I44" s="23" t="s">
        <v>227</v>
      </c>
      <c r="J44" s="24">
        <v>46152</v>
      </c>
      <c r="K44" s="23" t="s">
        <v>33</v>
      </c>
      <c r="L44" s="23" t="s">
        <v>97</v>
      </c>
      <c r="M44" s="23" t="s">
        <v>98</v>
      </c>
      <c r="N44" s="23" t="s">
        <v>228</v>
      </c>
      <c r="O44" s="25">
        <v>746.53</v>
      </c>
      <c r="P44" s="25">
        <v>0</v>
      </c>
      <c r="Q44" s="25">
        <v>115.94</v>
      </c>
      <c r="T44" s="25">
        <v>862.47</v>
      </c>
      <c r="U44" s="23" t="s">
        <v>37</v>
      </c>
      <c r="V44" s="26" t="s">
        <v>272</v>
      </c>
    </row>
    <row r="45" spans="1:22">
      <c r="A45" s="23" t="s">
        <v>25</v>
      </c>
      <c r="B45" s="23" t="s">
        <v>26</v>
      </c>
      <c r="C45" s="23" t="s">
        <v>27</v>
      </c>
      <c r="D45" s="24"/>
      <c r="E45" s="23" t="s">
        <v>28</v>
      </c>
      <c r="F45" s="23" t="s">
        <v>29</v>
      </c>
      <c r="G45" s="23" t="s">
        <v>229</v>
      </c>
      <c r="H45" s="23" t="s">
        <v>230</v>
      </c>
      <c r="I45" s="23" t="s">
        <v>231</v>
      </c>
      <c r="J45" s="24">
        <v>46150</v>
      </c>
      <c r="K45" s="23" t="s">
        <v>33</v>
      </c>
      <c r="L45" s="23" t="s">
        <v>232</v>
      </c>
      <c r="M45" s="23" t="s">
        <v>233</v>
      </c>
      <c r="N45" s="23" t="s">
        <v>234</v>
      </c>
      <c r="O45" s="25">
        <v>257.76</v>
      </c>
      <c r="P45" s="25">
        <v>0</v>
      </c>
      <c r="Q45" s="25">
        <v>41.24</v>
      </c>
      <c r="T45" s="25">
        <v>299</v>
      </c>
      <c r="U45" s="23" t="s">
        <v>37</v>
      </c>
      <c r="V45" s="26" t="s">
        <v>272</v>
      </c>
    </row>
    <row r="46" spans="1:22">
      <c r="A46" s="23" t="s">
        <v>25</v>
      </c>
      <c r="B46" s="23" t="s">
        <v>26</v>
      </c>
      <c r="C46" s="23" t="s">
        <v>27</v>
      </c>
      <c r="D46" s="24"/>
      <c r="E46" s="23" t="s">
        <v>28</v>
      </c>
      <c r="F46" s="23" t="s">
        <v>29</v>
      </c>
      <c r="G46" s="23" t="s">
        <v>235</v>
      </c>
      <c r="H46" s="23" t="s">
        <v>45</v>
      </c>
      <c r="I46" s="23" t="s">
        <v>236</v>
      </c>
      <c r="J46" s="24">
        <v>46150</v>
      </c>
      <c r="K46" s="23" t="s">
        <v>33</v>
      </c>
      <c r="L46" s="23" t="s">
        <v>237</v>
      </c>
      <c r="M46" s="23" t="s">
        <v>238</v>
      </c>
      <c r="N46" s="23" t="s">
        <v>239</v>
      </c>
      <c r="O46" s="25">
        <v>48.28</v>
      </c>
      <c r="P46" s="25">
        <v>0</v>
      </c>
      <c r="Q46" s="25">
        <v>7.72</v>
      </c>
      <c r="T46" s="25">
        <v>56</v>
      </c>
      <c r="U46" s="23" t="s">
        <v>37</v>
      </c>
      <c r="V46" s="26" t="s">
        <v>272</v>
      </c>
    </row>
    <row r="47" spans="1:22">
      <c r="A47" s="23" t="s">
        <v>25</v>
      </c>
      <c r="B47" s="23" t="s">
        <v>26</v>
      </c>
      <c r="C47" s="23" t="s">
        <v>27</v>
      </c>
      <c r="D47" s="24"/>
      <c r="E47" s="23" t="s">
        <v>28</v>
      </c>
      <c r="F47" s="23" t="s">
        <v>29</v>
      </c>
      <c r="G47" s="23" t="s">
        <v>240</v>
      </c>
      <c r="H47" s="23" t="s">
        <v>123</v>
      </c>
      <c r="I47" s="23" t="s">
        <v>241</v>
      </c>
      <c r="J47" s="24">
        <v>46150</v>
      </c>
      <c r="K47" s="23" t="s">
        <v>33</v>
      </c>
      <c r="L47" s="23" t="s">
        <v>125</v>
      </c>
      <c r="M47" s="23" t="s">
        <v>126</v>
      </c>
      <c r="N47" s="23" t="s">
        <v>242</v>
      </c>
      <c r="O47" s="25">
        <v>86.21</v>
      </c>
      <c r="P47" s="25">
        <v>0</v>
      </c>
      <c r="Q47" s="25">
        <v>13.79</v>
      </c>
      <c r="T47" s="25">
        <v>100</v>
      </c>
      <c r="U47" s="23" t="s">
        <v>37</v>
      </c>
      <c r="V47" s="26" t="s">
        <v>272</v>
      </c>
    </row>
    <row r="48" spans="1:22">
      <c r="A48" s="23" t="s">
        <v>25</v>
      </c>
      <c r="B48" s="23" t="s">
        <v>26</v>
      </c>
      <c r="C48" s="23" t="s">
        <v>27</v>
      </c>
      <c r="D48" s="24"/>
      <c r="E48" s="23" t="s">
        <v>28</v>
      </c>
      <c r="F48" s="23" t="s">
        <v>29</v>
      </c>
      <c r="G48" s="23" t="s">
        <v>243</v>
      </c>
      <c r="H48" s="23" t="s">
        <v>244</v>
      </c>
      <c r="I48" s="23" t="s">
        <v>245</v>
      </c>
      <c r="J48" s="24">
        <v>46150</v>
      </c>
      <c r="K48" s="23" t="s">
        <v>33</v>
      </c>
      <c r="L48" s="23" t="s">
        <v>246</v>
      </c>
      <c r="M48" s="23" t="s">
        <v>247</v>
      </c>
      <c r="N48" s="23" t="s">
        <v>248</v>
      </c>
      <c r="O48" s="25">
        <v>62.07</v>
      </c>
      <c r="P48" s="25">
        <v>0</v>
      </c>
      <c r="Q48" s="25">
        <v>9.93</v>
      </c>
      <c r="T48" s="25">
        <v>72</v>
      </c>
      <c r="U48" s="23" t="s">
        <v>37</v>
      </c>
      <c r="V48" s="26" t="s">
        <v>272</v>
      </c>
    </row>
    <row r="49" spans="1:22">
      <c r="A49" s="23" t="s">
        <v>25</v>
      </c>
      <c r="B49" s="23" t="s">
        <v>26</v>
      </c>
      <c r="C49" s="23" t="s">
        <v>27</v>
      </c>
      <c r="D49" s="24"/>
      <c r="E49" s="23" t="s">
        <v>28</v>
      </c>
      <c r="F49" s="23" t="s">
        <v>29</v>
      </c>
      <c r="G49" s="23" t="s">
        <v>249</v>
      </c>
      <c r="H49" s="23" t="s">
        <v>250</v>
      </c>
      <c r="I49" s="23" t="s">
        <v>251</v>
      </c>
      <c r="J49" s="24">
        <v>46150</v>
      </c>
      <c r="K49" s="23" t="s">
        <v>33</v>
      </c>
      <c r="L49" s="23" t="s">
        <v>252</v>
      </c>
      <c r="M49" s="23" t="s">
        <v>253</v>
      </c>
      <c r="N49" s="23" t="s">
        <v>254</v>
      </c>
      <c r="O49" s="25">
        <v>131.03</v>
      </c>
      <c r="P49" s="25">
        <v>0</v>
      </c>
      <c r="Q49" s="25">
        <v>20.96</v>
      </c>
      <c r="T49" s="25">
        <v>151.99</v>
      </c>
      <c r="U49" s="23" t="s">
        <v>37</v>
      </c>
      <c r="V49" s="26" t="s">
        <v>272</v>
      </c>
    </row>
    <row r="50" spans="1:22">
      <c r="A50" s="23" t="s">
        <v>25</v>
      </c>
      <c r="B50" s="23" t="s">
        <v>26</v>
      </c>
      <c r="C50" s="23" t="s">
        <v>27</v>
      </c>
      <c r="D50" s="24"/>
      <c r="E50" s="23" t="s">
        <v>28</v>
      </c>
      <c r="F50" s="23" t="s">
        <v>29</v>
      </c>
      <c r="G50" s="23" t="s">
        <v>255</v>
      </c>
      <c r="H50" s="23" t="s">
        <v>45</v>
      </c>
      <c r="I50" s="23" t="s">
        <v>256</v>
      </c>
      <c r="J50" s="24">
        <v>46146</v>
      </c>
      <c r="K50" s="23" t="s">
        <v>33</v>
      </c>
      <c r="L50" s="23" t="s">
        <v>257</v>
      </c>
      <c r="M50" s="23" t="s">
        <v>258</v>
      </c>
      <c r="N50" s="23" t="s">
        <v>259</v>
      </c>
      <c r="O50" s="25">
        <v>600</v>
      </c>
      <c r="P50" s="25">
        <v>0</v>
      </c>
      <c r="Q50" s="25">
        <v>96</v>
      </c>
      <c r="T50" s="25">
        <v>696</v>
      </c>
      <c r="U50" s="23" t="s">
        <v>37</v>
      </c>
      <c r="V50" s="26" t="s">
        <v>272</v>
      </c>
    </row>
    <row r="51" spans="1:22">
      <c r="A51" s="23" t="s">
        <v>25</v>
      </c>
      <c r="B51" s="23" t="s">
        <v>26</v>
      </c>
      <c r="C51" s="23" t="s">
        <v>27</v>
      </c>
      <c r="D51" s="24"/>
      <c r="E51" s="23" t="s">
        <v>28</v>
      </c>
      <c r="F51" s="23" t="s">
        <v>29</v>
      </c>
      <c r="G51" s="23" t="s">
        <v>260</v>
      </c>
      <c r="H51" s="23" t="s">
        <v>95</v>
      </c>
      <c r="I51" s="23" t="s">
        <v>261</v>
      </c>
      <c r="J51" s="24">
        <v>46144</v>
      </c>
      <c r="K51" s="23" t="s">
        <v>33</v>
      </c>
      <c r="L51" s="23" t="s">
        <v>97</v>
      </c>
      <c r="M51" s="23" t="s">
        <v>98</v>
      </c>
      <c r="N51" s="23" t="s">
        <v>262</v>
      </c>
      <c r="O51" s="25">
        <v>847.41</v>
      </c>
      <c r="P51" s="25">
        <v>0</v>
      </c>
      <c r="Q51" s="25">
        <v>131.61000000000001</v>
      </c>
      <c r="T51" s="25">
        <v>979.02</v>
      </c>
      <c r="U51" s="23" t="s">
        <v>37</v>
      </c>
      <c r="V51" s="26" t="s">
        <v>272</v>
      </c>
    </row>
    <row r="52" spans="1:22">
      <c r="N52" s="8" t="s">
        <v>270</v>
      </c>
      <c r="O52" s="16">
        <f>+SUM(O40:O51)</f>
        <v>5725.05</v>
      </c>
      <c r="P52" s="16">
        <f t="shared" ref="P52:T52" si="0">+SUM(P40:P51)</f>
        <v>0</v>
      </c>
      <c r="Q52" s="16">
        <f t="shared" si="0"/>
        <v>894.69</v>
      </c>
      <c r="R52" s="16">
        <f t="shared" si="0"/>
        <v>0</v>
      </c>
      <c r="S52" s="16">
        <f t="shared" si="0"/>
        <v>0</v>
      </c>
      <c r="T52" s="16">
        <f t="shared" si="0"/>
        <v>6619.74</v>
      </c>
    </row>
    <row r="54" spans="1:22" ht="15.75">
      <c r="N54" s="31" t="s">
        <v>273</v>
      </c>
      <c r="O54" s="32">
        <f>+O38+O52</f>
        <v>378659.08999999991</v>
      </c>
      <c r="P54" s="32">
        <f t="shared" ref="P54:T54" si="1">+P38+P52</f>
        <v>41.82</v>
      </c>
      <c r="Q54" s="32">
        <f t="shared" si="1"/>
        <v>60383.649999999994</v>
      </c>
      <c r="R54" s="32">
        <f t="shared" si="1"/>
        <v>12114.95</v>
      </c>
      <c r="S54" s="32">
        <f t="shared" si="1"/>
        <v>11357.76</v>
      </c>
      <c r="T54" s="32">
        <f t="shared" si="1"/>
        <v>415528.20999999996</v>
      </c>
    </row>
    <row r="55" spans="1:22">
      <c r="O55"/>
      <c r="P55"/>
      <c r="Q55"/>
      <c r="R55"/>
    </row>
    <row r="56" spans="1:22">
      <c r="N56" s="19" t="s">
        <v>276</v>
      </c>
      <c r="O56"/>
      <c r="P56" s="7"/>
      <c r="Q56" s="7">
        <v>21583.94</v>
      </c>
      <c r="R56"/>
    </row>
    <row r="57" spans="1:22">
      <c r="O57"/>
      <c r="P57"/>
      <c r="Q57" s="33">
        <f>+Q54+Q56</f>
        <v>81967.59</v>
      </c>
      <c r="R57"/>
    </row>
    <row r="58" spans="1:22">
      <c r="N58" s="19" t="s">
        <v>274</v>
      </c>
      <c r="O58"/>
      <c r="P58" s="7"/>
      <c r="Q58" s="7">
        <v>81320.78</v>
      </c>
      <c r="R58"/>
    </row>
    <row r="59" spans="1:22">
      <c r="N59" s="19" t="s">
        <v>275</v>
      </c>
      <c r="O59"/>
      <c r="Q59" s="15">
        <f>+Q57-Q58</f>
        <v>646.80999999999767</v>
      </c>
      <c r="R59"/>
    </row>
  </sheetData>
  <autoFilter ref="A5:U5" xr:uid="{00000000-0009-0000-0000-000004000000}"/>
  <conditionalFormatting sqref="A6:A38">
    <cfRule type="cellIs" dxfId="14" priority="10" operator="equal">
      <formula>"Inválido"</formula>
    </cfRule>
    <cfRule type="cellIs" dxfId="13" priority="11" operator="equal">
      <formula>"Válido"</formula>
    </cfRule>
  </conditionalFormatting>
  <conditionalFormatting sqref="A6:C38">
    <cfRule type="cellIs" dxfId="12" priority="9" operator="equal">
      <formula>"Sin Validar"</formula>
    </cfRule>
  </conditionalFormatting>
  <conditionalFormatting sqref="A6:U37 A40:Q51 T40:U51">
    <cfRule type="expression" dxfId="11" priority="16">
      <formula>MOD(ROW(),2)=1</formula>
    </cfRule>
  </conditionalFormatting>
  <conditionalFormatting sqref="B6:B38">
    <cfRule type="cellIs" dxfId="10" priority="12" operator="equal">
      <formula>"No existe"</formula>
    </cfRule>
    <cfRule type="cellIs" dxfId="9" priority="13" operator="equal">
      <formula>"Existe"</formula>
    </cfRule>
  </conditionalFormatting>
  <conditionalFormatting sqref="C6:C38">
    <cfRule type="cellIs" dxfId="8" priority="14" operator="equal">
      <formula>"Cancelado"</formula>
    </cfRule>
    <cfRule type="cellIs" dxfId="7" priority="15" operator="equal">
      <formula>"Vigente"</formula>
    </cfRule>
  </conditionalFormatting>
  <conditionalFormatting sqref="A40:A51">
    <cfRule type="cellIs" dxfId="6" priority="2" operator="equal">
      <formula>"Inválido"</formula>
    </cfRule>
    <cfRule type="cellIs" dxfId="5" priority="3" operator="equal">
      <formula>"Válido"</formula>
    </cfRule>
  </conditionalFormatting>
  <conditionalFormatting sqref="A40:C51">
    <cfRule type="cellIs" dxfId="4" priority="1" operator="equal">
      <formula>"Sin Validar"</formula>
    </cfRule>
  </conditionalFormatting>
  <conditionalFormatting sqref="B40:B51">
    <cfRule type="cellIs" dxfId="3" priority="4" operator="equal">
      <formula>"No existe"</formula>
    </cfRule>
    <cfRule type="cellIs" dxfId="2" priority="5" operator="equal">
      <formula>"Existe"</formula>
    </cfRule>
  </conditionalFormatting>
  <conditionalFormatting sqref="C40:C51">
    <cfRule type="cellIs" dxfId="1" priority="6" operator="equal">
      <formula>"Cancelado"</formula>
    </cfRule>
    <cfRule type="cellIs" dxfId="0" priority="7" operator="equal">
      <formula>"Vigente"</formula>
    </cfRule>
  </conditionalFormatting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GEO940715AL2</vt:lpstr>
      <vt:lpstr>DEPUR</vt:lpstr>
      <vt:lpstr>IVA ACRED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Desarrollo Conta</cp:lastModifiedBy>
  <dcterms:created xsi:type="dcterms:W3CDTF">2026-07-07T01:05:58Z</dcterms:created>
  <dcterms:modified xsi:type="dcterms:W3CDTF">2026-08-20T00:19:19Z</dcterms:modified>
</cp:coreProperties>
</file>